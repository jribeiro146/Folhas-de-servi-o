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nsorpointpt-my.sharepoint.com/personal/jribeiro_sensorpoint_pt/Documents/Documentos/optimização/Folhas de serviço/"/>
    </mc:Choice>
  </mc:AlternateContent>
  <xr:revisionPtr revIDLastSave="1" documentId="8_{C695E1BB-5E1E-4233-AA9D-C207BE683562}" xr6:coauthVersionLast="47" xr6:coauthVersionMax="47" xr10:uidLastSave="{E20E33ED-D865-4EA7-82D2-A934A548BE70}"/>
  <bookViews>
    <workbookView xWindow="-110" yWindow="-110" windowWidth="34620" windowHeight="13900" activeTab="1" xr2:uid="{CCE6C1BD-B58E-4B2B-8BA6-F91488FCF31B}"/>
  </bookViews>
  <sheets>
    <sheet name="LINK" sheetId="1" r:id="rId1"/>
    <sheet name="FS" sheetId="2" r:id="rId2"/>
  </sheets>
  <definedNames>
    <definedName name="_xlnm.Print_Area" localSheetId="1">FS!$A$1:$BD$65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2" l="1"/>
  <c r="A39" i="2"/>
  <c r="A34" i="2"/>
  <c r="BC30" i="2"/>
  <c r="AY30" i="2"/>
  <c r="AV30" i="2"/>
  <c r="AQ30" i="2"/>
  <c r="AM30" i="2"/>
  <c r="AH30" i="2"/>
  <c r="AB30" i="2"/>
  <c r="Q30" i="2"/>
  <c r="G30" i="2"/>
  <c r="BC28" i="2"/>
  <c r="AY28" i="2"/>
  <c r="AV28" i="2"/>
  <c r="AQ28" i="2"/>
  <c r="AM28" i="2"/>
  <c r="AH28" i="2"/>
  <c r="AB28" i="2"/>
  <c r="Q28" i="2"/>
  <c r="G28" i="2"/>
  <c r="AV23" i="2"/>
  <c r="H23" i="2"/>
  <c r="AV22" i="2"/>
  <c r="H22" i="2"/>
  <c r="AV21" i="2"/>
  <c r="H21" i="2"/>
  <c r="AV18" i="2"/>
  <c r="H18" i="2"/>
  <c r="AV17" i="2"/>
  <c r="AE17" i="2"/>
  <c r="H17" i="2"/>
  <c r="AV16" i="2"/>
  <c r="H16" i="2"/>
  <c r="AW12" i="2"/>
</calcChain>
</file>

<file path=xl/sharedStrings.xml><?xml version="1.0" encoding="utf-8"?>
<sst xmlns="http://schemas.openxmlformats.org/spreadsheetml/2006/main" count="199" uniqueCount="142">
  <si>
    <t>ASSIST</t>
  </si>
  <si>
    <t>MAN</t>
  </si>
  <si>
    <t>COL.SERV</t>
  </si>
  <si>
    <t>GAR</t>
  </si>
  <si>
    <t>INST</t>
  </si>
  <si>
    <t>PIQ</t>
  </si>
  <si>
    <t>FORM</t>
  </si>
  <si>
    <t>REP.OF</t>
  </si>
  <si>
    <t>ACOMP.COM</t>
  </si>
  <si>
    <t>SADI</t>
  </si>
  <si>
    <t>CCTV</t>
  </si>
  <si>
    <t>SADCO</t>
  </si>
  <si>
    <t>SAI</t>
  </si>
  <si>
    <t>SAEI</t>
  </si>
  <si>
    <t>SCA</t>
  </si>
  <si>
    <t>EAS</t>
  </si>
  <si>
    <t>SADG</t>
  </si>
  <si>
    <t>SCH</t>
  </si>
  <si>
    <t>OTHER</t>
  </si>
  <si>
    <t>Data
serviço</t>
  </si>
  <si>
    <t>Mês</t>
  </si>
  <si>
    <t>Técnico(s)</t>
  </si>
  <si>
    <t>Cód. Trabalho</t>
  </si>
  <si>
    <t>Início</t>
  </si>
  <si>
    <t>Fim</t>
  </si>
  <si>
    <t>Total Hrs</t>
  </si>
  <si>
    <t>Hora</t>
  </si>
  <si>
    <t>Valores a faturar</t>
  </si>
  <si>
    <t>SERVIÇOS A FATURAR</t>
  </si>
  <si>
    <t>TOTAL</t>
  </si>
  <si>
    <t>TOTAL s/ MAT/PLAF</t>
  </si>
  <si>
    <t>Descrição do trabalho executado</t>
  </si>
  <si>
    <t>Orçamento nº</t>
  </si>
  <si>
    <t>Nota de encomenda</t>
  </si>
  <si>
    <t>Faturado?</t>
  </si>
  <si>
    <t>Material que falta</t>
  </si>
  <si>
    <t>Observações</t>
  </si>
  <si>
    <t>Folha nº</t>
  </si>
  <si>
    <t>Pedido por:</t>
  </si>
  <si>
    <t>Email</t>
  </si>
  <si>
    <t>Telefone</t>
  </si>
  <si>
    <t>Contacto</t>
  </si>
  <si>
    <t>Contrato nº</t>
  </si>
  <si>
    <t>Loja nº</t>
  </si>
  <si>
    <t>Data
pedido</t>
  </si>
  <si>
    <t>Cliente nº</t>
  </si>
  <si>
    <t>Ident</t>
  </si>
  <si>
    <t>PA/VA</t>
  </si>
  <si>
    <t>EXT</t>
  </si>
  <si>
    <t>Cliente nome</t>
  </si>
  <si>
    <t>Local</t>
  </si>
  <si>
    <t>Morada</t>
  </si>
  <si>
    <t>Cód.
Postal</t>
  </si>
  <si>
    <t>CP</t>
  </si>
  <si>
    <t>NIF</t>
  </si>
  <si>
    <t>Avaria reportada</t>
  </si>
  <si>
    <t>Relatório Técnico da Intervenção | Intervention report</t>
  </si>
  <si>
    <t>T.Viagem</t>
  </si>
  <si>
    <t>T.Trabalho</t>
  </si>
  <si>
    <t>T.Total
trabalho</t>
  </si>
  <si>
    <t>T.Total
h</t>
  </si>
  <si>
    <t>T.Total
m</t>
  </si>
  <si>
    <t>Valor</t>
  </si>
  <si>
    <t>Deslocação Lx/Pt/Fun</t>
  </si>
  <si>
    <t>Deslocação Kms</t>
  </si>
  <si>
    <t>Piquete</t>
  </si>
  <si>
    <t>Material</t>
  </si>
  <si>
    <t>Plataforma</t>
  </si>
  <si>
    <t>Plataforma custo</t>
  </si>
  <si>
    <t>Manutenção</t>
  </si>
  <si>
    <t>Acerto de valor</t>
  </si>
  <si>
    <t>Sra. Jéssica Silv</t>
  </si>
  <si>
    <t>jessica.silva@Samsic.pt</t>
  </si>
  <si>
    <t xml:space="preserve">910036247 </t>
  </si>
  <si>
    <t/>
  </si>
  <si>
    <t>1951/26</t>
  </si>
  <si>
    <t>n/a</t>
  </si>
  <si>
    <t>0308</t>
  </si>
  <si>
    <t>X</t>
  </si>
  <si>
    <t>Hospital CUF Descobertas, SA</t>
  </si>
  <si>
    <t>CUF Descobertas</t>
  </si>
  <si>
    <t>R. Mário Botas - Parque das Nações</t>
  </si>
  <si>
    <t>1998-018 Lisboa</t>
  </si>
  <si>
    <t>19</t>
  </si>
  <si>
    <t>Manutenção preventiva anual SCH (Edifício 1 e  2) (1/1).</t>
  </si>
  <si>
    <t>AGENDAR</t>
  </si>
  <si>
    <t>S</t>
  </si>
  <si>
    <t>ECL 2026/257_</t>
  </si>
  <si>
    <t>Sensorpoint - Soluções de Segurança, SA</t>
  </si>
  <si>
    <t>R. Alfredo Rodrigues Gaspar, nº 7</t>
  </si>
  <si>
    <t>2685-891 Sacavém (Portugal)</t>
  </si>
  <si>
    <t>NIF 510154425</t>
  </si>
  <si>
    <r>
      <rPr>
        <b/>
        <sz val="9"/>
        <rFont val="Calibri"/>
        <family val="2"/>
        <scheme val="minor"/>
      </rPr>
      <t>Delegação</t>
    </r>
    <r>
      <rPr>
        <sz val="9"/>
        <rFont val="Calibri"/>
        <family val="2"/>
        <scheme val="minor"/>
      </rPr>
      <t>: Avintes (VN Gaia)</t>
    </r>
  </si>
  <si>
    <t>NIF 510 154 425</t>
  </si>
  <si>
    <t>Tel. +351 211 452 255</t>
  </si>
  <si>
    <t>service@sensorpoint.pt</t>
  </si>
  <si>
    <t>www.sensorpoint.pt</t>
  </si>
  <si>
    <r>
      <rPr>
        <b/>
        <sz val="11"/>
        <color theme="0"/>
        <rFont val="Calibri"/>
        <family val="2"/>
        <scheme val="minor"/>
      </rPr>
      <t>FOLHA DE SERVIÇO |</t>
    </r>
    <r>
      <rPr>
        <b/>
        <sz val="12"/>
        <color theme="0"/>
        <rFont val="Calibri"/>
        <family val="2"/>
        <scheme val="minor"/>
      </rPr>
      <t xml:space="preserve"> </t>
    </r>
    <r>
      <rPr>
        <b/>
        <sz val="10"/>
        <color theme="0"/>
        <rFont val="Calibri"/>
        <family val="2"/>
        <scheme val="minor"/>
      </rPr>
      <t>SERVICE SHEET</t>
    </r>
  </si>
  <si>
    <t>Nº</t>
  </si>
  <si>
    <r>
      <t xml:space="preserve">Dados do Cliente | </t>
    </r>
    <r>
      <rPr>
        <b/>
        <i/>
        <sz val="8"/>
        <color theme="0" tint="-0.34998626667073579"/>
        <rFont val="Calibri"/>
        <family val="2"/>
        <scheme val="minor"/>
      </rPr>
      <t>Customer</t>
    </r>
  </si>
  <si>
    <r>
      <t xml:space="preserve">Cliente
</t>
    </r>
    <r>
      <rPr>
        <b/>
        <i/>
        <sz val="8"/>
        <color theme="0" tint="-0.34998626667073579"/>
        <rFont val="Calibri"/>
        <family val="2"/>
        <scheme val="minor"/>
      </rPr>
      <t>Customer</t>
    </r>
  </si>
  <si>
    <r>
      <t xml:space="preserve">Pedido por
</t>
    </r>
    <r>
      <rPr>
        <b/>
        <i/>
        <sz val="8"/>
        <color theme="0" tint="-0.34998626667073579"/>
        <rFont val="Calibri"/>
        <family val="2"/>
        <scheme val="minor"/>
      </rPr>
      <t>Requested by</t>
    </r>
  </si>
  <si>
    <r>
      <rPr>
        <b/>
        <sz val="9"/>
        <color theme="1"/>
        <rFont val="Calibri"/>
        <family val="2"/>
        <scheme val="minor"/>
      </rPr>
      <t>Em</t>
    </r>
    <r>
      <rPr>
        <b/>
        <sz val="10"/>
        <color theme="1"/>
        <rFont val="Calibri"/>
        <family val="2"/>
        <scheme val="minor"/>
      </rPr>
      <t xml:space="preserve">
</t>
    </r>
    <r>
      <rPr>
        <b/>
        <i/>
        <sz val="8"/>
        <color theme="0" tint="-0.34998626667073579"/>
        <rFont val="Calibri"/>
        <family val="2"/>
        <scheme val="minor"/>
      </rPr>
      <t>In</t>
    </r>
  </si>
  <si>
    <r>
      <t xml:space="preserve">NIF nº
</t>
    </r>
    <r>
      <rPr>
        <b/>
        <i/>
        <sz val="8"/>
        <color theme="0" tint="-0.34998626667073579"/>
        <rFont val="Calibri"/>
        <family val="2"/>
        <scheme val="minor"/>
      </rPr>
      <t>VAT n.</t>
    </r>
  </si>
  <si>
    <t>E-mail</t>
  </si>
  <si>
    <r>
      <t xml:space="preserve">Telefone
</t>
    </r>
    <r>
      <rPr>
        <b/>
        <i/>
        <sz val="8"/>
        <color theme="0" tint="-0.34998626667073579"/>
        <rFont val="Calibri"/>
        <family val="2"/>
        <scheme val="minor"/>
      </rPr>
      <t>Phone n.</t>
    </r>
  </si>
  <si>
    <r>
      <rPr>
        <b/>
        <sz val="9"/>
        <color theme="1"/>
        <rFont val="Calibri"/>
        <family val="2"/>
        <scheme val="minor"/>
      </rPr>
      <t>Dados da instalação |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i/>
        <sz val="8"/>
        <color theme="0" tint="-0.34998626667073579"/>
        <rFont val="Calibri"/>
        <family val="2"/>
        <scheme val="minor"/>
      </rPr>
      <t>Site information</t>
    </r>
  </si>
  <si>
    <r>
      <t xml:space="preserve">Contacto
</t>
    </r>
    <r>
      <rPr>
        <b/>
        <i/>
        <sz val="9"/>
        <color theme="0" tint="-0.34998626667073579"/>
        <rFont val="Calibri"/>
        <family val="2"/>
        <scheme val="minor"/>
      </rPr>
      <t>Contact person</t>
    </r>
  </si>
  <si>
    <r>
      <t xml:space="preserve">Telefone
</t>
    </r>
    <r>
      <rPr>
        <b/>
        <i/>
        <sz val="8"/>
        <color theme="0" tint="-0.34998626667073579"/>
        <rFont val="Calibri"/>
        <family val="2"/>
        <scheme val="minor"/>
      </rPr>
      <t>Site Phone</t>
    </r>
  </si>
  <si>
    <r>
      <t xml:space="preserve">Local/loja
</t>
    </r>
    <r>
      <rPr>
        <b/>
        <i/>
        <sz val="9"/>
        <color theme="0" tint="-0.34998626667073579"/>
        <rFont val="Calibri"/>
        <family val="2"/>
        <scheme val="minor"/>
      </rPr>
      <t>Local/Store</t>
    </r>
  </si>
  <si>
    <r>
      <t xml:space="preserve">Contrato
</t>
    </r>
    <r>
      <rPr>
        <b/>
        <i/>
        <sz val="8"/>
        <color theme="0" tint="-0.34998626667073579"/>
        <rFont val="Calibri"/>
        <family val="2"/>
        <scheme val="minor"/>
      </rPr>
      <t>Contract</t>
    </r>
  </si>
  <si>
    <r>
      <t xml:space="preserve">Morada
</t>
    </r>
    <r>
      <rPr>
        <b/>
        <i/>
        <sz val="9"/>
        <color theme="0" tint="-0.34998626667073579"/>
        <rFont val="Calibri"/>
        <family val="2"/>
        <scheme val="minor"/>
      </rPr>
      <t>Address</t>
    </r>
  </si>
  <si>
    <r>
      <t xml:space="preserve">Loja nº
</t>
    </r>
    <r>
      <rPr>
        <b/>
        <sz val="8"/>
        <color theme="0" tint="-0.34998626667073579"/>
        <rFont val="Calibri"/>
        <family val="2"/>
        <scheme val="minor"/>
      </rPr>
      <t>Store n.</t>
    </r>
  </si>
  <si>
    <r>
      <t xml:space="preserve">Tipo de serviço | </t>
    </r>
    <r>
      <rPr>
        <b/>
        <i/>
        <sz val="8"/>
        <color theme="0"/>
        <rFont val="Calibri"/>
        <family val="2"/>
        <scheme val="minor"/>
      </rPr>
      <t>Service Type</t>
    </r>
  </si>
  <si>
    <r>
      <t xml:space="preserve">Equipamentos | </t>
    </r>
    <r>
      <rPr>
        <b/>
        <i/>
        <sz val="8"/>
        <color theme="0"/>
        <rFont val="Calibri"/>
        <family val="2"/>
        <scheme val="minor"/>
      </rPr>
      <t>Equipments</t>
    </r>
  </si>
  <si>
    <t>Colocação Serviço</t>
  </si>
  <si>
    <t>Garantia</t>
  </si>
  <si>
    <t>SADIR</t>
  </si>
  <si>
    <t>SADEI</t>
  </si>
  <si>
    <t>Assistência</t>
  </si>
  <si>
    <t>Formação</t>
  </si>
  <si>
    <t>Reparação oficina</t>
  </si>
  <si>
    <t>Instalação</t>
  </si>
  <si>
    <t>VSS</t>
  </si>
  <si>
    <r>
      <t xml:space="preserve">Trabalhos a efetuar | </t>
    </r>
    <r>
      <rPr>
        <b/>
        <i/>
        <sz val="8"/>
        <color theme="0"/>
        <rFont val="Calibri"/>
        <family val="2"/>
        <scheme val="minor"/>
      </rPr>
      <t>Requested tasks</t>
    </r>
  </si>
  <si>
    <r>
      <t xml:space="preserve">Relatório Técnico da Intervenção | </t>
    </r>
    <r>
      <rPr>
        <b/>
        <i/>
        <sz val="8"/>
        <color theme="0"/>
        <rFont val="Calibri"/>
        <family val="2"/>
        <scheme val="minor"/>
      </rPr>
      <t>Intervention report</t>
    </r>
  </si>
  <si>
    <r>
      <t xml:space="preserve">Material usado | </t>
    </r>
    <r>
      <rPr>
        <b/>
        <sz val="8"/>
        <color theme="0"/>
        <rFont val="Calibri"/>
        <family val="2"/>
        <scheme val="minor"/>
      </rPr>
      <t>Used Material</t>
    </r>
  </si>
  <si>
    <r>
      <t xml:space="preserve">Refª | </t>
    </r>
    <r>
      <rPr>
        <b/>
        <i/>
        <sz val="8"/>
        <color theme="0" tint="-0.34998626667073579"/>
        <rFont val="Calibri"/>
        <family val="2"/>
        <scheme val="minor"/>
      </rPr>
      <t>Ref.</t>
    </r>
  </si>
  <si>
    <r>
      <t xml:space="preserve">Descrição | </t>
    </r>
    <r>
      <rPr>
        <b/>
        <i/>
        <sz val="8"/>
        <color theme="0" tint="-0.34998626667073579"/>
        <rFont val="Calibri"/>
        <family val="2"/>
        <scheme val="minor"/>
      </rPr>
      <t>Description</t>
    </r>
  </si>
  <si>
    <r>
      <t xml:space="preserve">Qtd | </t>
    </r>
    <r>
      <rPr>
        <b/>
        <i/>
        <sz val="8"/>
        <color theme="0" tint="-0.34998626667073579"/>
        <rFont val="Calibri"/>
        <family val="2"/>
        <scheme val="minor"/>
      </rPr>
      <t>Qty</t>
    </r>
  </si>
  <si>
    <r>
      <t xml:space="preserve">Técnico
</t>
    </r>
    <r>
      <rPr>
        <b/>
        <i/>
        <sz val="8"/>
        <color theme="0" tint="-0.34998626667073579"/>
        <rFont val="Calibri"/>
        <family val="2"/>
        <scheme val="minor"/>
      </rPr>
      <t>Technician</t>
    </r>
  </si>
  <si>
    <r>
      <t xml:space="preserve">Hora Início
</t>
    </r>
    <r>
      <rPr>
        <b/>
        <i/>
        <sz val="8"/>
        <color theme="0" tint="-0.34998626667073579"/>
        <rFont val="Calibri"/>
        <family val="2"/>
        <scheme val="minor"/>
      </rPr>
      <t>Start Time</t>
    </r>
  </si>
  <si>
    <t>:</t>
  </si>
  <si>
    <r>
      <t xml:space="preserve">Hora Fim
</t>
    </r>
    <r>
      <rPr>
        <b/>
        <i/>
        <sz val="8"/>
        <color theme="0" tint="-0.34998626667073579"/>
        <rFont val="Calibri"/>
        <family val="2"/>
        <scheme val="minor"/>
      </rPr>
      <t>End time</t>
    </r>
  </si>
  <si>
    <r>
      <t xml:space="preserve">Total Horas
</t>
    </r>
    <r>
      <rPr>
        <b/>
        <i/>
        <sz val="8"/>
        <color theme="0" tint="-0.34998626667073579"/>
        <rFont val="Calibri"/>
        <family val="2"/>
        <scheme val="minor"/>
      </rPr>
      <t>Total Hours</t>
    </r>
  </si>
  <si>
    <t>SENSORPOINT</t>
  </si>
  <si>
    <r>
      <rPr>
        <b/>
        <sz val="8"/>
        <rFont val="Calibri"/>
        <family val="2"/>
        <scheme val="minor"/>
      </rPr>
      <t>CLIENTE</t>
    </r>
    <r>
      <rPr>
        <b/>
        <sz val="9"/>
        <rFont val="Calibri"/>
        <family val="2"/>
        <scheme val="minor"/>
      </rPr>
      <t xml:space="preserve"> | </t>
    </r>
    <r>
      <rPr>
        <b/>
        <i/>
        <sz val="8"/>
        <color theme="0" tint="-0.34998626667073579"/>
        <rFont val="Calibri"/>
        <family val="2"/>
        <scheme val="minor"/>
      </rPr>
      <t>By customer</t>
    </r>
  </si>
  <si>
    <t>Resp. técnico Sensorpoint</t>
  </si>
  <si>
    <t xml:space="preserve">         /           /                 </t>
  </si>
  <si>
    <r>
      <t xml:space="preserve">Data e Assinatura | </t>
    </r>
    <r>
      <rPr>
        <sz val="7"/>
        <color theme="0" tint="-0.34998626667073579"/>
        <rFont val="Calibri"/>
        <family val="2"/>
        <scheme val="minor"/>
      </rPr>
      <t>Date and signature</t>
    </r>
  </si>
  <si>
    <r>
      <t xml:space="preserve">Data, Assinatura e Carimbo | </t>
    </r>
    <r>
      <rPr>
        <sz val="7"/>
        <color theme="0" tint="-0.34998626667073579"/>
        <rFont val="Calibri"/>
        <family val="2"/>
        <scheme val="minor"/>
      </rPr>
      <t>Date, signature and stamp</t>
    </r>
  </si>
  <si>
    <t>2026_4572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</si>
</sst>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#,##0.00_);[Red]\(&quot;€&quot;#,##0.00\)"/>
    <numFmt numFmtId="165" formatCode="#,##0.000"/>
    <numFmt numFmtId="166" formatCode="&quot;$&quot;#,##0.00_);[Red]\(&quot;$&quot;#,##0.00\)"/>
    <numFmt numFmtId="167" formatCode="#,##0.00\ &quot;$&quot;"/>
  </numFmts>
  <fonts count="4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6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 tint="-0.499984740745262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 tint="0.3499862666707357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8"/>
      <color theme="0" tint="-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color theme="0" tint="-0.34998626667073579"/>
      <name val="Calibri"/>
      <family val="2"/>
      <scheme val="minor"/>
    </font>
    <font>
      <b/>
      <sz val="8"/>
      <color theme="0" tint="-0.3499862666707357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7"/>
      <name val="Calibri"/>
      <family val="2"/>
      <scheme val="minor"/>
    </font>
    <font>
      <sz val="7"/>
      <color theme="0" tint="-0.3499862666707357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2F2F2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/>
      <diagonal/>
    </border>
    <border>
      <left/>
      <right style="thin">
        <color theme="0" tint="-0.34998626667073579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02">
    <xf numFmtId="0" fontId="0" fillId="0" borderId="0" xfId="0"/>
    <xf numFmtId="14" fontId="3" fillId="2" borderId="0" xfId="0" applyNumberFormat="1" applyFont="1" applyFill="1" applyAlignment="1">
      <alignment horizontal="left" wrapText="1"/>
    </xf>
    <xf numFmtId="14" fontId="3" fillId="2" borderId="0" xfId="0" applyNumberFormat="1" applyFont="1" applyFill="1" applyAlignment="1">
      <alignment horizontal="center" wrapText="1"/>
    </xf>
    <xf numFmtId="14" fontId="4" fillId="3" borderId="0" xfId="0" applyNumberFormat="1" applyFont="1" applyFill="1" applyAlignment="1">
      <alignment horizontal="center"/>
    </xf>
    <xf numFmtId="14" fontId="4" fillId="3" borderId="0" xfId="0" applyNumberFormat="1" applyFont="1" applyFill="1" applyAlignment="1">
      <alignment horizontal="center" wrapText="1"/>
    </xf>
    <xf numFmtId="14" fontId="4" fillId="4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14" fontId="3" fillId="2" borderId="0" xfId="0" applyNumberFormat="1" applyFont="1" applyFill="1" applyAlignment="1">
      <alignment horizont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14" fontId="3" fillId="2" borderId="6" xfId="0" applyNumberFormat="1" applyFont="1" applyFill="1" applyBorder="1" applyAlignment="1">
      <alignment horizontal="center" wrapText="1"/>
    </xf>
    <xf numFmtId="14" fontId="3" fillId="2" borderId="6" xfId="0" applyNumberFormat="1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wrapText="1"/>
    </xf>
    <xf numFmtId="0" fontId="3" fillId="5" borderId="0" xfId="0" applyFont="1" applyFill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7" fillId="8" borderId="11" xfId="0" quotePrefix="1" applyFont="1" applyFill="1" applyBorder="1" applyAlignment="1">
      <alignment horizontal="left" vertical="top"/>
    </xf>
    <xf numFmtId="0" fontId="5" fillId="7" borderId="11" xfId="0" applyFont="1" applyFill="1" applyBorder="1" applyAlignment="1">
      <alignment horizontal="left" vertical="top"/>
    </xf>
    <xf numFmtId="0" fontId="5" fillId="0" borderId="11" xfId="0" applyFont="1" applyBorder="1" applyAlignment="1">
      <alignment vertical="top"/>
    </xf>
    <xf numFmtId="0" fontId="5" fillId="7" borderId="11" xfId="0" applyFont="1" applyFill="1" applyBorder="1" applyAlignment="1">
      <alignment horizontal="center" vertical="top"/>
    </xf>
    <xf numFmtId="14" fontId="5" fillId="7" borderId="11" xfId="0" applyNumberFormat="1" applyFont="1" applyFill="1" applyBorder="1" applyAlignment="1">
      <alignment horizontal="center" vertical="top"/>
    </xf>
    <xf numFmtId="0" fontId="5" fillId="7" borderId="11" xfId="0" applyFont="1" applyFill="1" applyBorder="1" applyAlignment="1">
      <alignment horizontal="right" vertical="top" indent="1"/>
    </xf>
    <xf numFmtId="0" fontId="5" fillId="7" borderId="11" xfId="0" quotePrefix="1" applyFont="1" applyFill="1" applyBorder="1" applyAlignment="1">
      <alignment horizontal="right" vertical="top" indent="1"/>
    </xf>
    <xf numFmtId="0" fontId="8" fillId="7" borderId="11" xfId="0" applyFont="1" applyFill="1" applyBorder="1" applyAlignment="1">
      <alignment horizontal="center" vertical="top"/>
    </xf>
    <xf numFmtId="0" fontId="5" fillId="7" borderId="11" xfId="0" applyFont="1" applyFill="1" applyBorder="1" applyAlignment="1">
      <alignment vertical="top"/>
    </xf>
    <xf numFmtId="49" fontId="5" fillId="7" borderId="11" xfId="0" applyNumberFormat="1" applyFont="1" applyFill="1" applyBorder="1" applyAlignment="1">
      <alignment horizontal="center" vertical="top"/>
    </xf>
    <xf numFmtId="0" fontId="5" fillId="7" borderId="11" xfId="0" applyFont="1" applyFill="1" applyBorder="1" applyAlignment="1">
      <alignment vertical="top" wrapText="1"/>
    </xf>
    <xf numFmtId="3" fontId="5" fillId="7" borderId="11" xfId="0" applyNumberFormat="1" applyFont="1" applyFill="1" applyBorder="1" applyAlignment="1">
      <alignment horizontal="center" vertical="top"/>
    </xf>
    <xf numFmtId="20" fontId="9" fillId="5" borderId="12" xfId="0" applyNumberFormat="1" applyFont="1" applyFill="1" applyBorder="1" applyAlignment="1">
      <alignment horizontal="center" vertical="top"/>
    </xf>
    <xf numFmtId="20" fontId="5" fillId="7" borderId="11" xfId="0" applyNumberFormat="1" applyFont="1" applyFill="1" applyBorder="1" applyAlignment="1">
      <alignment horizontal="center" vertical="top"/>
    </xf>
    <xf numFmtId="20" fontId="5" fillId="9" borderId="11" xfId="0" applyNumberFormat="1" applyFont="1" applyFill="1" applyBorder="1" applyAlignment="1">
      <alignment horizontal="center" vertical="top"/>
    </xf>
    <xf numFmtId="3" fontId="5" fillId="9" borderId="11" xfId="0" applyNumberFormat="1" applyFont="1" applyFill="1" applyBorder="1" applyAlignment="1">
      <alignment horizontal="right" vertical="top"/>
    </xf>
    <xf numFmtId="165" fontId="5" fillId="9" borderId="11" xfId="0" applyNumberFormat="1" applyFont="1" applyFill="1" applyBorder="1" applyAlignment="1">
      <alignment horizontal="right" vertical="top"/>
    </xf>
    <xf numFmtId="4" fontId="5" fillId="9" borderId="11" xfId="0" applyNumberFormat="1" applyFont="1" applyFill="1" applyBorder="1" applyAlignment="1">
      <alignment horizontal="right" vertical="top"/>
    </xf>
    <xf numFmtId="166" fontId="9" fillId="5" borderId="13" xfId="0" applyNumberFormat="1" applyFont="1" applyFill="1" applyBorder="1" applyAlignment="1">
      <alignment horizontal="center" vertical="top"/>
    </xf>
    <xf numFmtId="167" fontId="5" fillId="7" borderId="11" xfId="0" applyNumberFormat="1" applyFont="1" applyFill="1" applyBorder="1" applyAlignment="1">
      <alignment horizontal="right" vertical="top"/>
    </xf>
    <xf numFmtId="0" fontId="5" fillId="10" borderId="11" xfId="0" applyFont="1" applyFill="1" applyBorder="1" applyAlignment="1">
      <alignment horizontal="right" vertical="top"/>
    </xf>
    <xf numFmtId="167" fontId="10" fillId="7" borderId="11" xfId="0" applyNumberFormat="1" applyFont="1" applyFill="1" applyBorder="1" applyAlignment="1">
      <alignment horizontal="right" vertical="top"/>
    </xf>
    <xf numFmtId="166" fontId="5" fillId="7" borderId="11" xfId="0" applyNumberFormat="1" applyFont="1" applyFill="1" applyBorder="1" applyAlignment="1">
      <alignment horizontal="right" vertical="top"/>
    </xf>
    <xf numFmtId="167" fontId="7" fillId="7" borderId="11" xfId="0" applyNumberFormat="1" applyFont="1" applyFill="1" applyBorder="1" applyAlignment="1">
      <alignment horizontal="right" vertical="top"/>
    </xf>
    <xf numFmtId="0" fontId="5" fillId="7" borderId="0" xfId="0" applyFont="1" applyFill="1" applyAlignment="1">
      <alignment vertical="top"/>
    </xf>
    <xf numFmtId="0" fontId="5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5" fillId="0" borderId="0" xfId="1" applyFont="1" applyFill="1" applyAlignment="1" applyProtection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 applyAlignment="1">
      <alignment horizontal="right"/>
    </xf>
    <xf numFmtId="0" fontId="19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11" borderId="0" xfId="0" applyFont="1" applyFill="1" applyAlignment="1">
      <alignment vertical="center"/>
    </xf>
    <xf numFmtId="0" fontId="21" fillId="0" borderId="14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19" fillId="11" borderId="0" xfId="0" applyFont="1" applyFill="1" applyAlignment="1">
      <alignment vertical="center"/>
    </xf>
    <xf numFmtId="0" fontId="0" fillId="11" borderId="0" xfId="0" applyFill="1"/>
    <xf numFmtId="0" fontId="22" fillId="0" borderId="0" xfId="0" applyFont="1" applyAlignment="1">
      <alignment horizontal="center" vertical="center"/>
    </xf>
    <xf numFmtId="0" fontId="22" fillId="11" borderId="0" xfId="0" applyFont="1" applyFill="1" applyAlignment="1">
      <alignment horizontal="center" vertical="center"/>
    </xf>
    <xf numFmtId="0" fontId="22" fillId="11" borderId="3" xfId="0" applyFont="1" applyFill="1" applyBorder="1" applyAlignment="1">
      <alignment vertical="center"/>
    </xf>
    <xf numFmtId="0" fontId="23" fillId="12" borderId="15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3" fillId="0" borderId="0" xfId="0" applyFont="1" applyAlignment="1">
      <alignment horizontal="right" vertical="center" wrapText="1"/>
    </xf>
    <xf numFmtId="0" fontId="23" fillId="0" borderId="0" xfId="0" applyFont="1" applyAlignment="1">
      <alignment horizontal="right" vertical="center"/>
    </xf>
    <xf numFmtId="0" fontId="25" fillId="0" borderId="16" xfId="0" applyFont="1" applyBorder="1" applyAlignment="1" applyProtection="1">
      <alignment horizontal="left" vertical="center"/>
      <protection locked="0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0" xfId="0" applyFont="1" applyAlignment="1">
      <alignment horizontal="right" vertical="center"/>
    </xf>
    <xf numFmtId="0" fontId="17" fillId="0" borderId="6" xfId="0" quotePrefix="1" applyFont="1" applyBorder="1" applyAlignment="1" applyProtection="1">
      <alignment horizontal="center" vertical="center"/>
      <protection locked="0"/>
    </xf>
    <xf numFmtId="0" fontId="17" fillId="0" borderId="16" xfId="0" quotePrefix="1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left" vertical="center"/>
      <protection locked="0"/>
    </xf>
    <xf numFmtId="0" fontId="25" fillId="0" borderId="18" xfId="0" applyFont="1" applyBorder="1" applyAlignment="1">
      <alignment horizontal="right" vertical="center" wrapText="1"/>
    </xf>
    <xf numFmtId="14" fontId="17" fillId="0" borderId="16" xfId="0" applyNumberFormat="1" applyFont="1" applyBorder="1" applyAlignment="1" applyProtection="1">
      <alignment horizontal="center" vertical="center"/>
      <protection locked="0"/>
    </xf>
    <xf numFmtId="0" fontId="17" fillId="0" borderId="16" xfId="0" applyFont="1" applyBorder="1" applyAlignment="1" applyProtection="1">
      <alignment horizontal="center" vertical="center"/>
      <protection locked="0"/>
    </xf>
    <xf numFmtId="0" fontId="26" fillId="0" borderId="16" xfId="1" applyFont="1" applyFill="1" applyBorder="1" applyAlignment="1" applyProtection="1">
      <alignment horizontal="left" vertical="center" wrapText="1"/>
      <protection locked="0"/>
    </xf>
    <xf numFmtId="0" fontId="27" fillId="0" borderId="16" xfId="0" applyFont="1" applyBorder="1" applyAlignment="1" applyProtection="1">
      <alignment horizontal="left" vertical="center"/>
      <protection locked="0"/>
    </xf>
    <xf numFmtId="0" fontId="27" fillId="0" borderId="6" xfId="0" applyFont="1" applyBorder="1" applyAlignment="1" applyProtection="1">
      <alignment horizontal="left" vertical="center"/>
      <protection locked="0"/>
    </xf>
    <xf numFmtId="0" fontId="25" fillId="0" borderId="6" xfId="0" applyFont="1" applyBorder="1" applyAlignment="1">
      <alignment horizontal="center" vertical="center"/>
    </xf>
    <xf numFmtId="0" fontId="2" fillId="12" borderId="15" xfId="0" applyFont="1" applyFill="1" applyBorder="1" applyAlignment="1">
      <alignment horizontal="center" vertical="center"/>
    </xf>
    <xf numFmtId="0" fontId="17" fillId="0" borderId="6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center"/>
    </xf>
    <xf numFmtId="0" fontId="30" fillId="11" borderId="0" xfId="0" applyFont="1" applyFill="1" applyAlignment="1">
      <alignment horizontal="center" vertical="center"/>
    </xf>
    <xf numFmtId="0" fontId="25" fillId="11" borderId="0" xfId="0" applyFont="1" applyFill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7" fillId="0" borderId="0" xfId="0" applyFont="1"/>
    <xf numFmtId="0" fontId="34" fillId="0" borderId="0" xfId="0" applyFont="1"/>
    <xf numFmtId="0" fontId="25" fillId="0" borderId="0" xfId="0" applyFont="1" applyAlignment="1">
      <alignment horizontal="center" vertical="center"/>
    </xf>
    <xf numFmtId="0" fontId="5" fillId="0" borderId="19" xfId="0" applyFont="1" applyBorder="1"/>
    <xf numFmtId="0" fontId="5" fillId="0" borderId="18" xfId="0" applyFont="1" applyBorder="1"/>
    <xf numFmtId="0" fontId="32" fillId="0" borderId="18" xfId="0" applyFont="1" applyBorder="1"/>
    <xf numFmtId="0" fontId="0" fillId="0" borderId="18" xfId="0" applyBorder="1"/>
    <xf numFmtId="0" fontId="7" fillId="0" borderId="18" xfId="0" applyFont="1" applyBorder="1"/>
    <xf numFmtId="0" fontId="34" fillId="0" borderId="18" xfId="0" applyFont="1" applyBorder="1"/>
    <xf numFmtId="0" fontId="25" fillId="0" borderId="18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0" fillId="0" borderId="20" xfId="0" applyBorder="1"/>
    <xf numFmtId="0" fontId="32" fillId="0" borderId="0" xfId="0" applyFont="1"/>
    <xf numFmtId="0" fontId="7" fillId="0" borderId="21" xfId="0" applyFont="1" applyBorder="1"/>
    <xf numFmtId="0" fontId="7" fillId="0" borderId="0" xfId="0" applyFont="1" applyAlignment="1">
      <alignment horizontal="right"/>
    </xf>
    <xf numFmtId="0" fontId="7" fillId="0" borderId="21" xfId="0" applyFont="1" applyBorder="1" applyAlignment="1">
      <alignment horizontal="right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5" fillId="0" borderId="22" xfId="0" applyFont="1" applyBorder="1" applyAlignment="1">
      <alignment horizontal="right"/>
    </xf>
    <xf numFmtId="0" fontId="25" fillId="0" borderId="22" xfId="0" applyFont="1" applyBorder="1" applyAlignment="1">
      <alignment horizontal="center" vertical="center"/>
    </xf>
    <xf numFmtId="0" fontId="18" fillId="0" borderId="21" xfId="0" applyFont="1" applyBorder="1"/>
    <xf numFmtId="0" fontId="18" fillId="0" borderId="11" xfId="0" applyFont="1" applyBorder="1" applyAlignment="1" applyProtection="1">
      <alignment horizontal="center" vertical="center"/>
      <protection locked="0"/>
    </xf>
    <xf numFmtId="0" fontId="35" fillId="0" borderId="0" xfId="0" applyFont="1" applyAlignment="1">
      <alignment horizontal="right"/>
    </xf>
    <xf numFmtId="0" fontId="36" fillId="0" borderId="22" xfId="0" applyFont="1" applyBorder="1"/>
    <xf numFmtId="0" fontId="34" fillId="0" borderId="21" xfId="0" applyFont="1" applyBorder="1"/>
    <xf numFmtId="0" fontId="7" fillId="0" borderId="0" xfId="0" applyFont="1" applyAlignment="1">
      <alignment horizontal="center" vertical="center"/>
    </xf>
    <xf numFmtId="0" fontId="36" fillId="0" borderId="21" xfId="0" applyFont="1" applyBorder="1"/>
    <xf numFmtId="0" fontId="34" fillId="0" borderId="0" xfId="0" applyFont="1" applyAlignment="1">
      <alignment horizontal="right"/>
    </xf>
    <xf numFmtId="0" fontId="36" fillId="0" borderId="0" xfId="0" applyFont="1" applyAlignment="1">
      <alignment horizontal="right"/>
    </xf>
    <xf numFmtId="0" fontId="36" fillId="0" borderId="0" xfId="0" applyFont="1"/>
    <xf numFmtId="0" fontId="3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8" fillId="0" borderId="22" xfId="0" applyFont="1" applyBorder="1"/>
    <xf numFmtId="0" fontId="0" fillId="0" borderId="23" xfId="0" applyBorder="1"/>
    <xf numFmtId="0" fontId="0" fillId="0" borderId="6" xfId="0" applyBorder="1"/>
    <xf numFmtId="0" fontId="25" fillId="0" borderId="6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5" fillId="0" borderId="6" xfId="0" applyFont="1" applyBorder="1"/>
    <xf numFmtId="0" fontId="5" fillId="0" borderId="6" xfId="0" applyFont="1" applyBorder="1" applyAlignment="1">
      <alignment vertical="center"/>
    </xf>
    <xf numFmtId="0" fontId="0" fillId="0" borderId="24" xfId="0" applyBorder="1"/>
    <xf numFmtId="0" fontId="17" fillId="0" borderId="15" xfId="0" applyFont="1" applyBorder="1" applyAlignment="1" applyProtection="1">
      <alignment horizontal="left" vertical="center"/>
      <protection locked="0"/>
    </xf>
    <xf numFmtId="0" fontId="17" fillId="0" borderId="17" xfId="0" applyFont="1" applyBorder="1" applyAlignment="1" applyProtection="1">
      <alignment horizontal="left" vertical="center"/>
      <protection locked="0"/>
    </xf>
    <xf numFmtId="3" fontId="17" fillId="0" borderId="15" xfId="0" applyNumberFormat="1" applyFont="1" applyBorder="1" applyAlignment="1" applyProtection="1">
      <alignment horizontal="left" vertical="center" wrapText="1"/>
      <protection locked="0"/>
    </xf>
    <xf numFmtId="0" fontId="17" fillId="0" borderId="16" xfId="0" applyFont="1" applyBorder="1" applyAlignment="1" applyProtection="1">
      <alignment horizontal="left" vertical="center" wrapText="1"/>
      <protection locked="0"/>
    </xf>
    <xf numFmtId="0" fontId="17" fillId="0" borderId="17" xfId="0" applyFont="1" applyBorder="1" applyAlignment="1" applyProtection="1">
      <alignment horizontal="left" vertical="center" wrapText="1"/>
      <protection locked="0"/>
    </xf>
    <xf numFmtId="0" fontId="30" fillId="0" borderId="0" xfId="0" applyFont="1" applyAlignment="1">
      <alignment horizontal="center" vertical="center"/>
    </xf>
    <xf numFmtId="0" fontId="23" fillId="11" borderId="15" xfId="0" applyFont="1" applyFill="1" applyBorder="1" applyAlignment="1">
      <alignment horizontal="center" vertical="center"/>
    </xf>
    <xf numFmtId="0" fontId="23" fillId="11" borderId="16" xfId="0" applyFont="1" applyFill="1" applyBorder="1" applyAlignment="1">
      <alignment horizontal="center" vertical="center"/>
    </xf>
    <xf numFmtId="0" fontId="23" fillId="11" borderId="17" xfId="0" applyFont="1" applyFill="1" applyBorder="1" applyAlignment="1">
      <alignment horizontal="center" vertical="center"/>
    </xf>
    <xf numFmtId="0" fontId="17" fillId="0" borderId="15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horizontal="left" vertical="center" wrapText="1"/>
    </xf>
    <xf numFmtId="0" fontId="23" fillId="0" borderId="22" xfId="0" applyFont="1" applyBorder="1" applyAlignment="1">
      <alignment horizontal="left" vertical="center" wrapText="1"/>
    </xf>
    <xf numFmtId="0" fontId="11" fillId="0" borderId="15" xfId="0" applyFont="1" applyBorder="1" applyAlignment="1" applyProtection="1">
      <alignment horizontal="left" vertical="center"/>
      <protection locked="0"/>
    </xf>
    <xf numFmtId="0" fontId="11" fillId="0" borderId="16" xfId="0" applyFont="1" applyBorder="1" applyAlignment="1" applyProtection="1">
      <alignment horizontal="left" vertical="center"/>
      <protection locked="0"/>
    </xf>
    <xf numFmtId="0" fontId="11" fillId="0" borderId="17" xfId="0" applyFont="1" applyBorder="1" applyAlignment="1" applyProtection="1">
      <alignment horizontal="left" vertical="center"/>
      <protection locked="0"/>
    </xf>
    <xf numFmtId="0" fontId="23" fillId="0" borderId="21" xfId="0" applyFont="1" applyBorder="1" applyAlignment="1">
      <alignment horizontal="right" vertical="center" wrapText="1"/>
    </xf>
    <xf numFmtId="0" fontId="23" fillId="0" borderId="0" xfId="0" applyFont="1" applyAlignment="1">
      <alignment vertical="center"/>
    </xf>
    <xf numFmtId="0" fontId="11" fillId="0" borderId="15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5" fillId="0" borderId="0" xfId="0" applyFont="1"/>
    <xf numFmtId="0" fontId="12" fillId="0" borderId="0" xfId="0" applyFont="1"/>
    <xf numFmtId="0" fontId="16" fillId="0" borderId="1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39" fillId="0" borderId="23" xfId="0" applyFont="1" applyBorder="1" applyAlignment="1">
      <alignment horizontal="left"/>
    </xf>
    <xf numFmtId="0" fontId="39" fillId="0" borderId="6" xfId="0" applyFont="1" applyBorder="1" applyAlignment="1">
      <alignment horizontal="left"/>
    </xf>
    <xf numFmtId="0" fontId="39" fillId="0" borderId="24" xfId="0" applyFont="1" applyBorder="1" applyAlignment="1">
      <alignment horizontal="left"/>
    </xf>
    <xf numFmtId="0" fontId="39" fillId="0" borderId="23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24" xfId="0" applyFont="1" applyBorder="1" applyAlignment="1">
      <alignment horizontal="center"/>
    </xf>
    <xf numFmtId="0" fontId="40" fillId="0" borderId="0" xfId="0" applyFont="1"/>
    <xf numFmtId="0" fontId="18" fillId="0" borderId="0" xfId="0" applyFont="1"/>
    <xf numFmtId="0" fontId="18" fillId="0" borderId="18" xfId="0" applyFont="1" applyBorder="1"/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1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19</xdr:col>
      <xdr:colOff>71749</xdr:colOff>
      <xdr:row>5</xdr:row>
      <xdr:rowOff>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13963E-9CAA-4BD8-AE37-1DBA430B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66675"/>
          <a:ext cx="2192649" cy="66421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7A3B3-7B37-4BAE-A33A-5F01FF946A4E}">
  <sheetPr codeName="Folha7"/>
  <dimension ref="A1:BR3"/>
  <sheetViews>
    <sheetView workbookViewId="0">
      <selection activeCell="D13" sqref="D13"/>
    </sheetView>
  </sheetViews>
  <sheetFormatPr defaultColWidth="9.1796875" defaultRowHeight="10.5" x14ac:dyDescent="0.25"/>
  <cols>
    <col min="1" max="3" width="9.1796875" style="68"/>
    <col min="4" max="4" width="10" style="68" bestFit="1" customWidth="1"/>
    <col min="5" max="5" width="9.1796875" style="68"/>
    <col min="6" max="6" width="10" style="68" bestFit="1" customWidth="1"/>
    <col min="7" max="8" width="8.54296875" style="68" customWidth="1"/>
    <col min="9" max="9" width="9" style="68" customWidth="1"/>
    <col min="10" max="11" width="6.453125" style="68" customWidth="1"/>
    <col min="12" max="30" width="5" style="69" customWidth="1"/>
    <col min="31" max="35" width="9.1796875" style="68"/>
    <col min="36" max="36" width="10" style="68" bestFit="1" customWidth="1"/>
    <col min="37" max="39" width="9.1796875" style="68"/>
    <col min="40" max="40" width="18" style="68" customWidth="1"/>
    <col min="41" max="51" width="9.1796875" style="68"/>
    <col min="52" max="53" width="9.26953125" style="68" bestFit="1" customWidth="1"/>
    <col min="54" max="54" width="9.1796875" style="68"/>
    <col min="55" max="55" width="9.26953125" style="68" bestFit="1" customWidth="1"/>
    <col min="56" max="62" width="9.1796875" style="68"/>
    <col min="63" max="64" width="9.26953125" style="68" bestFit="1" customWidth="1"/>
    <col min="65" max="65" width="9.1796875" style="68"/>
    <col min="66" max="66" width="9.54296875" style="68" bestFit="1" customWidth="1"/>
    <col min="67" max="71" width="9.1796875" style="68"/>
    <col min="72" max="72" width="9.26953125" style="68" bestFit="1" customWidth="1"/>
    <col min="73" max="16384" width="9.1796875" style="68"/>
  </cols>
  <sheetData>
    <row r="1" spans="1:70" s="22" customFormat="1" ht="16.5" x14ac:dyDescent="0.25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3" t="s">
        <v>0</v>
      </c>
      <c r="M1" s="3" t="s">
        <v>1</v>
      </c>
      <c r="N1" s="4" t="s">
        <v>2</v>
      </c>
      <c r="O1" s="3" t="s">
        <v>3</v>
      </c>
      <c r="P1" s="4" t="s">
        <v>4</v>
      </c>
      <c r="Q1" s="3" t="s">
        <v>5</v>
      </c>
      <c r="R1" s="3" t="s">
        <v>6</v>
      </c>
      <c r="S1" s="4" t="s">
        <v>7</v>
      </c>
      <c r="T1" s="4" t="s">
        <v>8</v>
      </c>
      <c r="U1" s="5" t="s">
        <v>9</v>
      </c>
      <c r="V1" s="5" t="s">
        <v>10</v>
      </c>
      <c r="W1" s="5" t="s">
        <v>11</v>
      </c>
      <c r="X1" s="5" t="s">
        <v>12</v>
      </c>
      <c r="Y1" s="5" t="s">
        <v>13</v>
      </c>
      <c r="Z1" s="5" t="s">
        <v>14</v>
      </c>
      <c r="AA1" s="5" t="s">
        <v>15</v>
      </c>
      <c r="AB1" s="5" t="s">
        <v>16</v>
      </c>
      <c r="AC1" s="5" t="s">
        <v>17</v>
      </c>
      <c r="AD1" s="5" t="s">
        <v>18</v>
      </c>
      <c r="AE1" s="2"/>
      <c r="AF1" s="2"/>
      <c r="AG1" s="6"/>
      <c r="AH1" s="7"/>
      <c r="AI1" s="6"/>
      <c r="AJ1" s="7"/>
      <c r="AK1" s="6"/>
      <c r="AL1" s="8" t="s">
        <v>19</v>
      </c>
      <c r="AM1" s="8" t="s">
        <v>20</v>
      </c>
      <c r="AN1" s="2"/>
      <c r="AO1" s="9" t="s">
        <v>21</v>
      </c>
      <c r="AP1" s="10" t="s">
        <v>22</v>
      </c>
      <c r="AQ1" s="11" t="s">
        <v>23</v>
      </c>
      <c r="AR1" s="12" t="s">
        <v>23</v>
      </c>
      <c r="AS1" s="12" t="s">
        <v>24</v>
      </c>
      <c r="AT1" s="13" t="s">
        <v>25</v>
      </c>
      <c r="AU1" s="14"/>
      <c r="AV1" s="14"/>
      <c r="AW1" s="15"/>
      <c r="AX1" s="15"/>
      <c r="AY1" s="16" t="s">
        <v>26</v>
      </c>
      <c r="AZ1" s="17" t="s">
        <v>27</v>
      </c>
      <c r="BA1" s="18"/>
      <c r="BB1" s="18"/>
      <c r="BC1" s="18"/>
      <c r="BD1" s="18"/>
      <c r="BE1" s="18"/>
      <c r="BF1" s="18"/>
      <c r="BG1" s="18"/>
      <c r="BH1" s="18"/>
      <c r="BI1" s="19" t="s">
        <v>28</v>
      </c>
      <c r="BJ1" s="20"/>
      <c r="BK1" s="19" t="s">
        <v>29</v>
      </c>
      <c r="BL1" s="19" t="s">
        <v>30</v>
      </c>
      <c r="BM1" s="21" t="s">
        <v>31</v>
      </c>
      <c r="BN1" s="10" t="s">
        <v>32</v>
      </c>
      <c r="BO1" s="10" t="s">
        <v>33</v>
      </c>
      <c r="BP1" s="10" t="s">
        <v>34</v>
      </c>
      <c r="BQ1" s="10" t="s">
        <v>35</v>
      </c>
      <c r="BR1" s="10" t="s">
        <v>36</v>
      </c>
    </row>
    <row r="2" spans="1:70" s="42" customFormat="1" ht="31.5" x14ac:dyDescent="0.25">
      <c r="A2" s="23" t="s">
        <v>37</v>
      </c>
      <c r="B2" s="23" t="s">
        <v>38</v>
      </c>
      <c r="C2" s="23" t="s">
        <v>39</v>
      </c>
      <c r="D2" s="23" t="s">
        <v>40</v>
      </c>
      <c r="E2" s="23" t="s">
        <v>41</v>
      </c>
      <c r="F2" s="23" t="s">
        <v>40</v>
      </c>
      <c r="G2" s="23" t="s">
        <v>42</v>
      </c>
      <c r="H2" s="23" t="s">
        <v>43</v>
      </c>
      <c r="I2" s="23" t="s">
        <v>44</v>
      </c>
      <c r="J2" s="23" t="s">
        <v>45</v>
      </c>
      <c r="K2" s="23" t="s">
        <v>46</v>
      </c>
      <c r="L2" s="3" t="s">
        <v>0</v>
      </c>
      <c r="M2" s="3" t="s">
        <v>1</v>
      </c>
      <c r="N2" s="4" t="s">
        <v>2</v>
      </c>
      <c r="O2" s="3" t="s">
        <v>3</v>
      </c>
      <c r="P2" s="4" t="s">
        <v>4</v>
      </c>
      <c r="Q2" s="3" t="s">
        <v>5</v>
      </c>
      <c r="R2" s="3" t="s">
        <v>6</v>
      </c>
      <c r="S2" s="4" t="s">
        <v>7</v>
      </c>
      <c r="T2" s="4" t="s">
        <v>8</v>
      </c>
      <c r="U2" s="5" t="s">
        <v>9</v>
      </c>
      <c r="V2" s="5" t="s">
        <v>10</v>
      </c>
      <c r="W2" s="5" t="s">
        <v>47</v>
      </c>
      <c r="X2" s="5" t="s">
        <v>12</v>
      </c>
      <c r="Y2" s="5" t="s">
        <v>48</v>
      </c>
      <c r="Z2" s="5" t="s">
        <v>14</v>
      </c>
      <c r="AA2" s="5" t="s">
        <v>15</v>
      </c>
      <c r="AB2" s="5" t="s">
        <v>16</v>
      </c>
      <c r="AC2" s="5" t="s">
        <v>17</v>
      </c>
      <c r="AD2" s="5" t="s">
        <v>18</v>
      </c>
      <c r="AE2" s="23" t="s">
        <v>49</v>
      </c>
      <c r="AF2" s="23" t="s">
        <v>50</v>
      </c>
      <c r="AG2" s="23" t="s">
        <v>51</v>
      </c>
      <c r="AH2" s="23" t="s">
        <v>52</v>
      </c>
      <c r="AI2" s="24" t="s">
        <v>53</v>
      </c>
      <c r="AJ2" s="25" t="s">
        <v>54</v>
      </c>
      <c r="AK2" s="26" t="s">
        <v>55</v>
      </c>
      <c r="AL2" s="27"/>
      <c r="AM2" s="27"/>
      <c r="AN2" s="28" t="s">
        <v>56</v>
      </c>
      <c r="AO2" s="29"/>
      <c r="AP2" s="30"/>
      <c r="AQ2" s="31" t="s">
        <v>57</v>
      </c>
      <c r="AR2" s="32" t="s">
        <v>58</v>
      </c>
      <c r="AS2" s="33"/>
      <c r="AT2" s="25" t="s">
        <v>59</v>
      </c>
      <c r="AU2" s="34" t="s">
        <v>60</v>
      </c>
      <c r="AV2" s="34" t="s">
        <v>61</v>
      </c>
      <c r="AW2" s="25" t="s">
        <v>60</v>
      </c>
      <c r="AX2" s="25" t="s">
        <v>61</v>
      </c>
      <c r="AY2" s="31" t="s">
        <v>62</v>
      </c>
      <c r="AZ2" s="35" t="s">
        <v>26</v>
      </c>
      <c r="BA2" s="36" t="s">
        <v>63</v>
      </c>
      <c r="BB2" s="37" t="s">
        <v>64</v>
      </c>
      <c r="BC2" s="36">
        <v>0.6</v>
      </c>
      <c r="BD2" s="35" t="s">
        <v>65</v>
      </c>
      <c r="BE2" s="35" t="s">
        <v>66</v>
      </c>
      <c r="BF2" s="35" t="s">
        <v>67</v>
      </c>
      <c r="BG2" s="38" t="s">
        <v>68</v>
      </c>
      <c r="BH2" s="35" t="s">
        <v>69</v>
      </c>
      <c r="BI2" s="39"/>
      <c r="BJ2" s="40" t="s">
        <v>70</v>
      </c>
      <c r="BK2" s="39"/>
      <c r="BL2" s="39"/>
      <c r="BM2" s="41"/>
      <c r="BN2" s="30"/>
      <c r="BO2" s="30"/>
      <c r="BP2" s="30"/>
      <c r="BQ2" s="30"/>
      <c r="BR2" s="30"/>
    </row>
    <row r="3" spans="1:70" s="67" customFormat="1" ht="13.5" customHeight="1" x14ac:dyDescent="0.35">
      <c r="A3" s="43" t="s">
        <v>141</v>
      </c>
      <c r="B3" s="44" t="s">
        <v>71</v>
      </c>
      <c r="C3" s="45" t="s">
        <v>72</v>
      </c>
      <c r="D3" s="44" t="s">
        <v>73</v>
      </c>
      <c r="E3" s="44" t="s">
        <v>74</v>
      </c>
      <c r="F3" s="44" t="s">
        <v>74</v>
      </c>
      <c r="G3" s="46" t="s">
        <v>75</v>
      </c>
      <c r="H3" s="46" t="s">
        <v>76</v>
      </c>
      <c r="I3" s="47">
        <v>46090</v>
      </c>
      <c r="J3" s="48" t="s">
        <v>77</v>
      </c>
      <c r="K3" s="49"/>
      <c r="L3" s="50"/>
      <c r="M3" s="50" t="s">
        <v>78</v>
      </c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 t="s">
        <v>78</v>
      </c>
      <c r="AD3" s="50"/>
      <c r="AE3" s="51" t="s">
        <v>79</v>
      </c>
      <c r="AF3" s="51" t="s">
        <v>80</v>
      </c>
      <c r="AG3" s="44" t="s">
        <v>81</v>
      </c>
      <c r="AH3" s="51" t="s">
        <v>82</v>
      </c>
      <c r="AI3" s="52" t="s">
        <v>83</v>
      </c>
      <c r="AJ3" s="46">
        <v>504872982</v>
      </c>
      <c r="AK3" s="53" t="s">
        <v>84</v>
      </c>
      <c r="AL3" s="47" t="s">
        <v>85</v>
      </c>
      <c r="AM3" s="54" t="s">
        <v>86</v>
      </c>
      <c r="AN3" s="54"/>
      <c r="AO3" s="46"/>
      <c r="AP3" s="46"/>
      <c r="AQ3" s="55"/>
      <c r="AR3" s="46"/>
      <c r="AS3" s="56" t="s">
        <v>74</v>
      </c>
      <c r="AT3" s="57" t="s">
        <v>74</v>
      </c>
      <c r="AU3" s="58">
        <v>1</v>
      </c>
      <c r="AV3" s="59">
        <v>30</v>
      </c>
      <c r="AW3" s="58" t="s">
        <v>74</v>
      </c>
      <c r="AX3" s="60" t="s">
        <v>74</v>
      </c>
      <c r="AY3" s="61">
        <v>0</v>
      </c>
      <c r="AZ3" s="62">
        <v>62.4</v>
      </c>
      <c r="BA3" s="62">
        <v>0</v>
      </c>
      <c r="BB3" s="63">
        <v>0</v>
      </c>
      <c r="BC3" s="62">
        <v>0</v>
      </c>
      <c r="BD3" s="62">
        <v>0</v>
      </c>
      <c r="BE3" s="62">
        <v>0</v>
      </c>
      <c r="BF3" s="62">
        <v>0</v>
      </c>
      <c r="BG3" s="64">
        <v>3497.4</v>
      </c>
      <c r="BH3" s="62"/>
      <c r="BI3" s="62"/>
      <c r="BJ3" s="65">
        <v>62.4</v>
      </c>
      <c r="BK3" s="66">
        <v>62.4</v>
      </c>
      <c r="BL3" s="66"/>
      <c r="BM3" s="53" t="s">
        <v>69</v>
      </c>
      <c r="BN3" s="46"/>
      <c r="BO3" s="46" t="s">
        <v>87</v>
      </c>
      <c r="BP3" s="46"/>
      <c r="BQ3" s="44"/>
      <c r="BR3" s="46"/>
    </row>
  </sheetData>
  <mergeCells count="15">
    <mergeCell ref="BQ1:BQ2"/>
    <mergeCell ref="BR1:BR2"/>
    <mergeCell ref="AR2:AS2"/>
    <mergeCell ref="BK1:BK2"/>
    <mergeCell ref="BL1:BL2"/>
    <mergeCell ref="BM1:BM2"/>
    <mergeCell ref="BN1:BN2"/>
    <mergeCell ref="BO1:BO2"/>
    <mergeCell ref="BP1:BP2"/>
    <mergeCell ref="AL1:AL2"/>
    <mergeCell ref="AM1:AM2"/>
    <mergeCell ref="AO1:AO2"/>
    <mergeCell ref="AP1:AP2"/>
    <mergeCell ref="AZ1:BH1"/>
    <mergeCell ref="BI1:BI2"/>
  </mergeCells>
  <dataValidations count="1">
    <dataValidation allowBlank="1" showInputMessage="1" showErrorMessage="1" promptTitle="Verificar" prompt="Serial Number?" sqref="BM3" xr:uid="{38BAD5B6-AB97-4B70-A000-9E465283B0D2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CE5B-D556-430F-93D8-3CCE9AAB1BC8}">
  <sheetPr codeName="Folha6"/>
  <dimension ref="A1:BE71"/>
  <sheetViews>
    <sheetView showGridLines="0" tabSelected="1" topLeftCell="A23" zoomScaleNormal="100" workbookViewId="0">
      <selection activeCell="BN32" sqref="BN30:BN32"/>
    </sheetView>
  </sheetViews>
  <sheetFormatPr defaultColWidth="9.1796875" defaultRowHeight="14.5" x14ac:dyDescent="0.35"/>
  <cols>
    <col min="1" max="1" width="0.7265625" customWidth="1"/>
    <col min="2" max="4" width="1.7265625" customWidth="1"/>
    <col min="5" max="5" width="2.1796875" customWidth="1"/>
    <col min="6" max="13" width="1.7265625" customWidth="1"/>
    <col min="14" max="14" width="0.54296875" customWidth="1"/>
    <col min="15" max="19" width="1.7265625" customWidth="1"/>
    <col min="20" max="20" width="2.26953125" customWidth="1"/>
    <col min="21" max="21" width="1.7265625" customWidth="1"/>
    <col min="22" max="22" width="0.81640625" customWidth="1"/>
    <col min="23" max="23" width="1.7265625" customWidth="1"/>
    <col min="24" max="24" width="0.81640625" customWidth="1"/>
    <col min="25" max="34" width="1.7265625" customWidth="1"/>
    <col min="35" max="35" width="1.26953125" customWidth="1"/>
    <col min="36" max="36" width="1.7265625" customWidth="1"/>
    <col min="37" max="37" width="2.1796875" customWidth="1"/>
    <col min="38" max="41" width="1.81640625" customWidth="1"/>
    <col min="42" max="42" width="2.1796875" customWidth="1"/>
    <col min="43" max="43" width="1.81640625" customWidth="1"/>
    <col min="44" max="44" width="2" customWidth="1"/>
    <col min="45" max="45" width="1.81640625" customWidth="1"/>
    <col min="46" max="47" width="0.81640625" customWidth="1"/>
    <col min="48" max="48" width="1.81640625" customWidth="1"/>
    <col min="49" max="49" width="2.26953125" customWidth="1"/>
    <col min="50" max="51" width="1.81640625" customWidth="1"/>
    <col min="52" max="54" width="1.7265625" customWidth="1"/>
    <col min="55" max="55" width="1.81640625" customWidth="1"/>
    <col min="56" max="56" width="1.1796875" customWidth="1"/>
  </cols>
  <sheetData>
    <row r="1" spans="1:57" ht="11.25" customHeight="1" x14ac:dyDescent="0.35"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1"/>
      <c r="BD1" s="71" t="s">
        <v>88</v>
      </c>
    </row>
    <row r="2" spans="1:57" ht="10.5" customHeight="1" x14ac:dyDescent="0.35"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2"/>
      <c r="BD2" s="72" t="s">
        <v>89</v>
      </c>
    </row>
    <row r="3" spans="1:57" ht="10.5" customHeight="1" x14ac:dyDescent="0.35"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2"/>
      <c r="BD3" s="72" t="s">
        <v>90</v>
      </c>
    </row>
    <row r="4" spans="1:57" ht="11.25" customHeight="1" x14ac:dyDescent="0.35"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2"/>
      <c r="BD4" s="72" t="s">
        <v>91</v>
      </c>
    </row>
    <row r="5" spans="1:57" x14ac:dyDescent="0.35"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2"/>
      <c r="BD5" s="72" t="s">
        <v>92</v>
      </c>
    </row>
    <row r="6" spans="1:57" ht="6" customHeight="1" x14ac:dyDescent="0.35">
      <c r="A6" s="73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2"/>
      <c r="BD6" s="72"/>
      <c r="BE6" s="74"/>
    </row>
    <row r="7" spans="1:57" ht="3" customHeight="1" x14ac:dyDescent="0.35">
      <c r="A7" s="73"/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X7" s="75"/>
      <c r="Y7" s="75"/>
      <c r="AA7" s="75"/>
      <c r="AB7" s="75"/>
      <c r="AC7" s="75"/>
      <c r="AD7" s="75"/>
      <c r="AE7" s="75"/>
      <c r="AF7" s="75"/>
      <c r="AH7" s="75"/>
      <c r="AI7" s="75"/>
      <c r="AK7" s="75"/>
      <c r="AL7" s="75"/>
      <c r="AM7" s="75"/>
      <c r="AN7" s="75"/>
      <c r="BC7" s="72"/>
      <c r="BD7" s="72" t="s">
        <v>93</v>
      </c>
    </row>
    <row r="8" spans="1:57" ht="9.75" customHeight="1" x14ac:dyDescent="0.35">
      <c r="A8" s="73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X8" s="75"/>
      <c r="Y8" s="75"/>
      <c r="AA8" s="75"/>
      <c r="AB8" s="75"/>
      <c r="AC8" s="75"/>
      <c r="AD8" s="75"/>
      <c r="AE8" s="75"/>
      <c r="AF8" s="75"/>
      <c r="AH8" s="75"/>
      <c r="AI8" s="75"/>
      <c r="AK8" s="75"/>
      <c r="AL8" s="75"/>
      <c r="AM8" s="75"/>
      <c r="AN8" s="75"/>
      <c r="BC8" s="76"/>
      <c r="BD8" s="76" t="s">
        <v>94</v>
      </c>
    </row>
    <row r="9" spans="1:57" ht="9.75" customHeight="1" x14ac:dyDescent="0.35">
      <c r="A9" s="73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X9" s="75"/>
      <c r="Y9" s="75"/>
      <c r="AA9" s="75"/>
      <c r="AB9" s="75"/>
      <c r="AC9" s="75"/>
      <c r="AD9" s="75"/>
      <c r="AE9" s="75"/>
      <c r="AF9" s="75"/>
      <c r="AH9" s="75"/>
      <c r="AI9" s="75"/>
      <c r="AK9" s="75"/>
      <c r="AL9" s="75"/>
      <c r="AM9" s="75"/>
      <c r="AN9" s="75"/>
      <c r="BC9" s="76"/>
      <c r="BD9" s="76" t="s">
        <v>95</v>
      </c>
    </row>
    <row r="10" spans="1:57" ht="12" customHeight="1" x14ac:dyDescent="0.35">
      <c r="A10" s="73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X10" s="75"/>
      <c r="Y10" s="75"/>
      <c r="AA10" s="75"/>
      <c r="AB10" s="75"/>
      <c r="AC10" s="75"/>
      <c r="AD10" s="75"/>
      <c r="AE10" s="75"/>
      <c r="AF10" s="75"/>
      <c r="AH10" s="75"/>
      <c r="AI10" s="75"/>
      <c r="AK10" s="75"/>
      <c r="AL10" s="75"/>
      <c r="AM10" s="75"/>
      <c r="AN10" s="75"/>
      <c r="BC10" s="76"/>
      <c r="BD10" s="76" t="s">
        <v>96</v>
      </c>
    </row>
    <row r="11" spans="1:57" ht="4.5" customHeight="1" x14ac:dyDescent="0.35">
      <c r="A11" s="73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X11" s="75"/>
      <c r="Y11" s="75"/>
      <c r="AA11" s="75"/>
      <c r="AB11" s="75"/>
      <c r="AC11" s="75"/>
      <c r="AD11" s="75"/>
      <c r="AE11" s="75"/>
      <c r="AF11" s="75"/>
      <c r="AH11" s="75"/>
      <c r="AI11" s="75"/>
      <c r="AK11" s="75"/>
      <c r="AL11" s="75"/>
      <c r="AM11" s="75"/>
      <c r="AN11" s="75"/>
      <c r="BC11" s="76"/>
      <c r="BD11" s="76"/>
    </row>
    <row r="12" spans="1:57" s="82" customFormat="1" ht="17.25" customHeight="1" x14ac:dyDescent="0.35">
      <c r="A12" s="77" t="s">
        <v>97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8"/>
      <c r="AU12" s="79"/>
      <c r="AV12" s="80" t="s">
        <v>98</v>
      </c>
      <c r="AW12" s="81" t="str">
        <f>LINK!A3</f>
        <v>2026_4572</v>
      </c>
      <c r="AX12" s="81"/>
      <c r="AY12" s="81"/>
      <c r="AZ12" s="81"/>
      <c r="BA12" s="81"/>
      <c r="BB12" s="81"/>
      <c r="BC12" s="81"/>
      <c r="BD12" s="81"/>
    </row>
    <row r="13" spans="1:57" ht="4.5" customHeight="1" x14ac:dyDescent="0.35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4"/>
      <c r="AU13" s="85"/>
      <c r="AV13" s="86"/>
      <c r="AW13" s="86"/>
      <c r="AX13" s="87"/>
      <c r="AY13" s="87"/>
      <c r="AZ13" s="87"/>
      <c r="BA13" s="87"/>
      <c r="BB13" s="87"/>
      <c r="BC13" s="87"/>
      <c r="BD13" s="87"/>
    </row>
    <row r="14" spans="1:57" ht="4.5" customHeight="1" x14ac:dyDescent="0.35"/>
    <row r="15" spans="1:57" ht="14.25" customHeight="1" x14ac:dyDescent="0.35">
      <c r="A15" s="88" t="s">
        <v>99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90"/>
    </row>
    <row r="16" spans="1:57" s="82" customFormat="1" ht="20.25" customHeight="1" x14ac:dyDescent="0.35">
      <c r="A16" s="91" t="s">
        <v>100</v>
      </c>
      <c r="B16" s="92"/>
      <c r="C16" s="92"/>
      <c r="D16" s="92"/>
      <c r="E16" s="92"/>
      <c r="F16" s="92"/>
      <c r="G16" s="92"/>
      <c r="H16" s="93" t="str">
        <f>LINK!AE3</f>
        <v>Hospital CUF Descobertas, SA</v>
      </c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4"/>
      <c r="AP16" s="94"/>
      <c r="AQ16" s="94"/>
      <c r="AR16" s="95"/>
      <c r="AS16" s="96" t="s">
        <v>98</v>
      </c>
      <c r="AT16" s="94"/>
      <c r="AU16" s="94"/>
      <c r="AV16" s="97" t="str">
        <f>LINK!J3</f>
        <v>0308</v>
      </c>
      <c r="AW16" s="98"/>
      <c r="AX16" s="98"/>
      <c r="AY16" s="98"/>
      <c r="AZ16" s="98"/>
      <c r="BA16" s="98"/>
      <c r="BB16" s="98"/>
      <c r="BC16" s="98"/>
      <c r="BD16" s="98"/>
    </row>
    <row r="17" spans="1:56" s="82" customFormat="1" ht="20.25" customHeight="1" x14ac:dyDescent="0.35">
      <c r="A17" s="91" t="s">
        <v>101</v>
      </c>
      <c r="B17" s="92"/>
      <c r="C17" s="92"/>
      <c r="D17" s="92"/>
      <c r="E17" s="92"/>
      <c r="F17" s="92"/>
      <c r="G17" s="92"/>
      <c r="H17" s="99" t="str">
        <f>LINK!B3</f>
        <v>Sra. Jéssica Silv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100" t="s">
        <v>102</v>
      </c>
      <c r="AD17" s="100"/>
      <c r="AE17" s="101">
        <f>LINK!I3</f>
        <v>46090</v>
      </c>
      <c r="AF17" s="102"/>
      <c r="AG17" s="102"/>
      <c r="AH17" s="102"/>
      <c r="AI17" s="102"/>
      <c r="AJ17" s="102"/>
      <c r="AK17" s="102"/>
      <c r="AL17" s="102"/>
      <c r="AM17" s="102"/>
      <c r="AN17" s="102"/>
      <c r="AO17" s="91" t="s">
        <v>103</v>
      </c>
      <c r="AP17" s="92"/>
      <c r="AQ17" s="92"/>
      <c r="AR17" s="92"/>
      <c r="AS17" s="92"/>
      <c r="AT17" s="94"/>
      <c r="AU17" s="94"/>
      <c r="AV17" s="97">
        <f>LINK!AJ3</f>
        <v>504872982</v>
      </c>
      <c r="AW17" s="97"/>
      <c r="AX17" s="97"/>
      <c r="AY17" s="97"/>
      <c r="AZ17" s="97"/>
      <c r="BA17" s="97"/>
      <c r="BB17" s="97"/>
      <c r="BC17" s="97"/>
      <c r="BD17" s="97"/>
    </row>
    <row r="18" spans="1:56" s="82" customFormat="1" ht="20.25" customHeight="1" x14ac:dyDescent="0.35">
      <c r="A18" s="92" t="s">
        <v>104</v>
      </c>
      <c r="B18" s="92"/>
      <c r="C18" s="92"/>
      <c r="D18" s="92"/>
      <c r="E18" s="92"/>
      <c r="F18" s="92"/>
      <c r="G18" s="92"/>
      <c r="H18" s="103" t="str">
        <f>LINK!C3</f>
        <v>jessica.silva@Samsic.pt</v>
      </c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5"/>
      <c r="AD18" s="105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91" t="s">
        <v>105</v>
      </c>
      <c r="AP18" s="91"/>
      <c r="AQ18" s="91"/>
      <c r="AR18" s="91"/>
      <c r="AS18" s="91"/>
      <c r="AT18" s="94"/>
      <c r="AU18" s="94"/>
      <c r="AV18" s="97" t="str">
        <f>LINK!D3</f>
        <v xml:space="preserve">910036247 </v>
      </c>
      <c r="AW18" s="97"/>
      <c r="AX18" s="97"/>
      <c r="AY18" s="97"/>
      <c r="AZ18" s="97"/>
      <c r="BA18" s="97"/>
      <c r="BB18" s="97"/>
      <c r="BC18" s="97"/>
      <c r="BD18" s="97"/>
    </row>
    <row r="19" spans="1:56" s="82" customFormat="1" ht="5.25" customHeight="1" x14ac:dyDescent="0.3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6"/>
      <c r="AD19" s="106"/>
      <c r="AE19" s="106"/>
      <c r="AF19" s="106"/>
      <c r="AG19" s="106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6"/>
      <c r="AS19" s="106"/>
      <c r="AT19" s="106"/>
      <c r="AU19" s="106"/>
      <c r="AV19" s="106"/>
      <c r="AW19" s="106"/>
      <c r="AX19" s="106"/>
      <c r="AY19" s="106"/>
      <c r="AZ19" s="106"/>
      <c r="BA19" s="106"/>
      <c r="BB19" s="106"/>
      <c r="BC19" s="106"/>
      <c r="BD19" s="106"/>
    </row>
    <row r="20" spans="1:56" s="82" customFormat="1" ht="14.25" customHeight="1" x14ac:dyDescent="0.35">
      <c r="A20" s="107" t="s">
        <v>106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90"/>
    </row>
    <row r="21" spans="1:56" s="82" customFormat="1" ht="20.25" customHeight="1" x14ac:dyDescent="0.35">
      <c r="A21" s="91" t="s">
        <v>107</v>
      </c>
      <c r="B21" s="92"/>
      <c r="C21" s="92"/>
      <c r="D21" s="92"/>
      <c r="E21" s="92"/>
      <c r="F21" s="92"/>
      <c r="G21" s="92"/>
      <c r="H21" s="108" t="str">
        <f>LINK!E3</f>
        <v/>
      </c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94"/>
      <c r="AN21" s="94"/>
      <c r="AO21" s="91" t="s">
        <v>108</v>
      </c>
      <c r="AP21" s="91"/>
      <c r="AQ21" s="91"/>
      <c r="AR21" s="91"/>
      <c r="AS21" s="91"/>
      <c r="AT21" s="94"/>
      <c r="AU21" s="94"/>
      <c r="AV21" s="97" t="str">
        <f>LINK!F3</f>
        <v/>
      </c>
      <c r="AW21" s="98"/>
      <c r="AX21" s="98"/>
      <c r="AY21" s="98"/>
      <c r="AZ21" s="98"/>
      <c r="BA21" s="98"/>
      <c r="BB21" s="98"/>
      <c r="BC21" s="98"/>
      <c r="BD21" s="98"/>
    </row>
    <row r="22" spans="1:56" s="82" customFormat="1" ht="20.25" customHeight="1" x14ac:dyDescent="0.35">
      <c r="A22" s="91" t="s">
        <v>109</v>
      </c>
      <c r="B22" s="92"/>
      <c r="C22" s="92"/>
      <c r="D22" s="92"/>
      <c r="E22" s="92"/>
      <c r="F22" s="92"/>
      <c r="G22" s="92"/>
      <c r="H22" s="108" t="str">
        <f>LINK!AF3</f>
        <v>CUF Descobertas</v>
      </c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94"/>
      <c r="AN22" s="94"/>
      <c r="AO22" s="91" t="s">
        <v>110</v>
      </c>
      <c r="AP22" s="91"/>
      <c r="AQ22" s="91"/>
      <c r="AR22" s="91"/>
      <c r="AS22" s="91"/>
      <c r="AT22" s="94"/>
      <c r="AU22" s="94"/>
      <c r="AV22" s="97" t="str">
        <f>LINK!G3</f>
        <v>1951/26</v>
      </c>
      <c r="AW22" s="98"/>
      <c r="AX22" s="98"/>
      <c r="AY22" s="98"/>
      <c r="AZ22" s="98"/>
      <c r="BA22" s="98"/>
      <c r="BB22" s="98"/>
      <c r="BC22" s="98"/>
      <c r="BD22" s="98"/>
    </row>
    <row r="23" spans="1:56" s="82" customFormat="1" ht="20.25" customHeight="1" x14ac:dyDescent="0.35">
      <c r="A23" s="91" t="s">
        <v>111</v>
      </c>
      <c r="B23" s="92"/>
      <c r="C23" s="92"/>
      <c r="D23" s="92"/>
      <c r="E23" s="92"/>
      <c r="F23" s="92"/>
      <c r="G23" s="92"/>
      <c r="H23" s="108" t="str">
        <f>CONCATENATE(LINK!AG3,"|",LINK!AH3)</f>
        <v>R. Mário Botas - Parque das Nações|1998-018 Lisboa</v>
      </c>
      <c r="I23" s="108"/>
      <c r="J23" s="108"/>
      <c r="K23" s="108"/>
      <c r="L23" s="108"/>
      <c r="M23" s="108"/>
      <c r="N23" s="108"/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94"/>
      <c r="AN23" s="94"/>
      <c r="AO23" s="91" t="s">
        <v>112</v>
      </c>
      <c r="AP23" s="91"/>
      <c r="AQ23" s="91"/>
      <c r="AR23" s="91"/>
      <c r="AS23" s="91"/>
      <c r="AT23" s="94"/>
      <c r="AU23" s="94"/>
      <c r="AV23" s="97" t="str">
        <f>LINK!H3</f>
        <v>n/a</v>
      </c>
      <c r="AW23" s="98"/>
      <c r="AX23" s="98"/>
      <c r="AY23" s="98"/>
      <c r="AZ23" s="98"/>
      <c r="BA23" s="98"/>
      <c r="BB23" s="98"/>
      <c r="BC23" s="98"/>
      <c r="BD23" s="98"/>
    </row>
    <row r="24" spans="1:56" ht="6" customHeight="1" x14ac:dyDescent="0.35">
      <c r="A24" s="109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9"/>
      <c r="AQ24" s="109"/>
      <c r="AR24" s="109"/>
      <c r="AS24" s="109"/>
      <c r="AT24" s="109"/>
      <c r="AU24" s="109"/>
      <c r="AV24" s="109"/>
      <c r="AW24" s="109"/>
      <c r="AX24" s="109"/>
      <c r="AY24" s="109"/>
      <c r="AZ24" s="109"/>
      <c r="BA24" s="109"/>
      <c r="BB24" s="109"/>
      <c r="BC24" s="109"/>
      <c r="BD24" s="109"/>
    </row>
    <row r="25" spans="1:56" s="112" customFormat="1" ht="14.25" customHeight="1" x14ac:dyDescent="0.35">
      <c r="A25" s="110" t="s">
        <v>113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  <c r="AE25" s="110"/>
      <c r="AF25" s="110"/>
      <c r="AG25" s="110"/>
      <c r="AH25" s="110"/>
      <c r="AI25" s="110"/>
      <c r="AJ25" s="111"/>
      <c r="AK25" s="110" t="s">
        <v>114</v>
      </c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</row>
    <row r="26" spans="1:56" s="112" customFormat="1" ht="3.75" customHeight="1" x14ac:dyDescent="0.35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Z26" s="113"/>
      <c r="AA26" s="114"/>
      <c r="AB26" s="114"/>
      <c r="AC26" s="114"/>
      <c r="AD26" s="114"/>
      <c r="AE26" s="115"/>
      <c r="AF26" s="116"/>
      <c r="AG26" s="116"/>
      <c r="AH26" s="116"/>
      <c r="AI26" s="116"/>
      <c r="AJ26" s="116"/>
    </row>
    <row r="27" spans="1:56" ht="3.75" customHeight="1" x14ac:dyDescent="0.35">
      <c r="B27" s="117"/>
      <c r="C27" s="118"/>
      <c r="D27" s="118"/>
      <c r="E27" s="118"/>
      <c r="F27" s="119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20"/>
      <c r="X27" s="120"/>
      <c r="Y27" s="120"/>
      <c r="Z27" s="120"/>
      <c r="AA27" s="121"/>
      <c r="AB27" s="121"/>
      <c r="AC27" s="121"/>
      <c r="AD27" s="121"/>
      <c r="AE27" s="122"/>
      <c r="AF27" s="123"/>
      <c r="AG27" s="123"/>
      <c r="AH27" s="123"/>
      <c r="AI27" s="124"/>
      <c r="AJ27" s="116"/>
      <c r="AK27" s="117"/>
      <c r="AL27" s="118"/>
      <c r="AM27" s="118"/>
      <c r="AN27" s="120"/>
      <c r="AO27" s="125"/>
      <c r="AP27" s="125"/>
      <c r="AQ27" s="125"/>
      <c r="AR27" s="125"/>
      <c r="AS27" s="125"/>
      <c r="AT27" s="125"/>
      <c r="AU27" s="125"/>
      <c r="AV27" s="125"/>
      <c r="AW27" s="120"/>
      <c r="AX27" s="120"/>
      <c r="AY27" s="120"/>
      <c r="AZ27" s="120"/>
      <c r="BA27" s="120"/>
      <c r="BB27" s="120"/>
      <c r="BC27" s="120"/>
      <c r="BD27" s="126"/>
    </row>
    <row r="28" spans="1:56" s="127" customFormat="1" ht="10.5" customHeight="1" x14ac:dyDescent="0.35">
      <c r="B28" s="128"/>
      <c r="C28" s="114"/>
      <c r="D28" s="129"/>
      <c r="E28" s="130"/>
      <c r="F28" s="130" t="s">
        <v>65</v>
      </c>
      <c r="G28" s="131" t="str">
        <f>IF(LINK!Q3="","","X")</f>
        <v/>
      </c>
      <c r="H28" s="129"/>
      <c r="I28" s="132"/>
      <c r="J28" s="132"/>
      <c r="K28" s="132"/>
      <c r="L28" s="132"/>
      <c r="M28" s="129"/>
      <c r="N28" s="132"/>
      <c r="O28" s="129" t="s">
        <v>69</v>
      </c>
      <c r="P28" s="132"/>
      <c r="Q28" s="131" t="str">
        <f>IF(LINK!M3="","","X")</f>
        <v>X</v>
      </c>
      <c r="R28" s="133"/>
      <c r="S28" s="132"/>
      <c r="T28" s="132"/>
      <c r="U28" s="132"/>
      <c r="V28" s="132"/>
      <c r="W28" s="132"/>
      <c r="X28" s="132"/>
      <c r="Y28" s="132"/>
      <c r="Z28" s="129" t="s">
        <v>115</v>
      </c>
      <c r="AA28" s="134"/>
      <c r="AB28" s="131" t="str">
        <f>IF(LINK!N3="","","X")</f>
        <v/>
      </c>
      <c r="AC28" s="132"/>
      <c r="AD28" s="132"/>
      <c r="AE28" s="129"/>
      <c r="AF28" s="129"/>
      <c r="AG28" s="130" t="s">
        <v>116</v>
      </c>
      <c r="AH28" s="131" t="str">
        <f>IF(LINK!O3="","","?")</f>
        <v/>
      </c>
      <c r="AI28" s="135"/>
      <c r="AJ28" s="116"/>
      <c r="AK28" s="136"/>
      <c r="AL28" s="129" t="s">
        <v>9</v>
      </c>
      <c r="AM28" s="137" t="str">
        <f>IF(LINK!U3="","","X")</f>
        <v/>
      </c>
      <c r="AP28" s="129" t="s">
        <v>117</v>
      </c>
      <c r="AQ28" s="137" t="str">
        <f>IF(LINK!X3="","","X")</f>
        <v/>
      </c>
      <c r="AT28" s="138"/>
      <c r="AU28" s="138" t="s">
        <v>118</v>
      </c>
      <c r="AV28" s="137" t="str">
        <f>IF(LINK!Y3="","","X")</f>
        <v/>
      </c>
      <c r="AX28" s="138" t="s">
        <v>14</v>
      </c>
      <c r="AY28" s="137" t="str">
        <f>IF(LINK!Z3="","","X")</f>
        <v/>
      </c>
      <c r="BA28" s="138"/>
      <c r="BB28" s="138" t="s">
        <v>15</v>
      </c>
      <c r="BC28" s="137" t="str">
        <f>IF(LINK!AA3="","","X")</f>
        <v/>
      </c>
      <c r="BD28" s="139"/>
    </row>
    <row r="29" spans="1:56" s="127" customFormat="1" ht="3.75" customHeight="1" x14ac:dyDescent="0.35">
      <c r="B29" s="140"/>
      <c r="C29" s="114"/>
      <c r="D29" s="129"/>
      <c r="E29" s="129"/>
      <c r="F29" s="129"/>
      <c r="G29" s="133"/>
      <c r="H29" s="129"/>
      <c r="I29" s="132"/>
      <c r="J29" s="132"/>
      <c r="K29" s="132"/>
      <c r="L29" s="132"/>
      <c r="M29" s="129"/>
      <c r="N29" s="132"/>
      <c r="O29" s="129"/>
      <c r="P29" s="132"/>
      <c r="Q29" s="133"/>
      <c r="R29" s="133"/>
      <c r="S29" s="129"/>
      <c r="T29" s="132"/>
      <c r="U29" s="132"/>
      <c r="V29" s="132"/>
      <c r="W29" s="132"/>
      <c r="X29" s="132"/>
      <c r="Y29" s="132"/>
      <c r="Z29" s="132"/>
      <c r="AA29" s="132"/>
      <c r="AB29" s="133"/>
      <c r="AC29" s="129"/>
      <c r="AD29" s="129"/>
      <c r="AE29" s="129"/>
      <c r="AF29" s="129"/>
      <c r="AG29" s="141"/>
      <c r="AH29" s="116"/>
      <c r="AI29" s="135"/>
      <c r="AJ29" s="116"/>
      <c r="AK29" s="142"/>
      <c r="AL29" s="143"/>
      <c r="AM29" s="144"/>
      <c r="AP29" s="133"/>
      <c r="AQ29" s="145"/>
      <c r="AT29" s="146"/>
      <c r="AU29" s="146"/>
      <c r="AV29" s="144"/>
      <c r="AX29" s="146"/>
      <c r="AY29" s="145"/>
      <c r="BA29" s="146"/>
      <c r="BB29" s="146"/>
      <c r="BC29" s="145"/>
      <c r="BD29" s="139"/>
    </row>
    <row r="30" spans="1:56" ht="10.5" customHeight="1" x14ac:dyDescent="0.35">
      <c r="B30" s="128"/>
      <c r="C30" s="114"/>
      <c r="D30" s="129"/>
      <c r="E30" s="130"/>
      <c r="F30" s="130" t="s">
        <v>119</v>
      </c>
      <c r="G30" s="131" t="str">
        <f>IF(LINK!L3="","","X")</f>
        <v/>
      </c>
      <c r="H30" s="129"/>
      <c r="I30" s="132"/>
      <c r="J30" s="132"/>
      <c r="K30" s="132"/>
      <c r="L30" s="132"/>
      <c r="M30" s="129"/>
      <c r="N30" s="132"/>
      <c r="O30" s="129" t="s">
        <v>120</v>
      </c>
      <c r="P30" s="132"/>
      <c r="Q30" s="131" t="str">
        <f>IF(LINK!R3="","","X")</f>
        <v/>
      </c>
      <c r="R30" s="147"/>
      <c r="S30" s="132"/>
      <c r="T30" s="132"/>
      <c r="U30" s="132"/>
      <c r="V30" s="132"/>
      <c r="W30" s="132"/>
      <c r="X30" s="132"/>
      <c r="Y30" s="132"/>
      <c r="Z30" s="129" t="s">
        <v>121</v>
      </c>
      <c r="AA30" s="134"/>
      <c r="AB30" s="131" t="str">
        <f>IF(LINK!S3="","","X")</f>
        <v/>
      </c>
      <c r="AC30" s="129"/>
      <c r="AD30" s="129"/>
      <c r="AE30" s="129"/>
      <c r="AF30" s="129"/>
      <c r="AG30" s="130" t="s">
        <v>122</v>
      </c>
      <c r="AH30" s="131" t="str">
        <f>IF(LINK!P3="","","X")</f>
        <v/>
      </c>
      <c r="AI30" s="135"/>
      <c r="AJ30" s="116"/>
      <c r="AK30" s="136"/>
      <c r="AL30" s="129" t="s">
        <v>123</v>
      </c>
      <c r="AM30" s="137" t="str">
        <f>IF(LINK!V3="","","X")</f>
        <v/>
      </c>
      <c r="AP30" s="129" t="s">
        <v>11</v>
      </c>
      <c r="AQ30" s="137" t="str">
        <f>IF(LINK!W3="","","X")</f>
        <v/>
      </c>
      <c r="AT30" s="138"/>
      <c r="AU30" s="138" t="s">
        <v>16</v>
      </c>
      <c r="AV30" s="137" t="str">
        <f>IF(LINK!AB3="","","X")</f>
        <v/>
      </c>
      <c r="AX30" s="138" t="s">
        <v>17</v>
      </c>
      <c r="AY30" s="137" t="str">
        <f>IF(LINK!AC3="","","X")</f>
        <v>X</v>
      </c>
      <c r="BA30" s="138"/>
      <c r="BB30" s="138" t="s">
        <v>18</v>
      </c>
      <c r="BC30" s="137" t="str">
        <f>IF(LINK!AD3="","","X")</f>
        <v/>
      </c>
      <c r="BD30" s="148"/>
    </row>
    <row r="31" spans="1:56" ht="3.75" customHeight="1" x14ac:dyDescent="0.35">
      <c r="B31" s="149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1"/>
      <c r="AG31" s="151"/>
      <c r="AH31" s="151"/>
      <c r="AI31" s="152"/>
      <c r="AJ31" s="116"/>
      <c r="AK31" s="149"/>
      <c r="AL31" s="150"/>
      <c r="AM31" s="150"/>
      <c r="AN31" s="150"/>
      <c r="AO31" s="153"/>
      <c r="AP31" s="153"/>
      <c r="AQ31" s="153"/>
      <c r="AR31" s="150"/>
      <c r="AS31" s="150"/>
      <c r="AT31" s="153"/>
      <c r="AU31" s="153"/>
      <c r="AV31" s="154"/>
      <c r="AW31" s="150"/>
      <c r="AX31" s="150"/>
      <c r="AY31" s="150"/>
      <c r="AZ31" s="150"/>
      <c r="BA31" s="150"/>
      <c r="BB31" s="150"/>
      <c r="BC31" s="150"/>
      <c r="BD31" s="155"/>
    </row>
    <row r="32" spans="1:56" ht="6.75" customHeight="1" x14ac:dyDescent="0.35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</row>
    <row r="33" spans="1:56" ht="14.25" customHeight="1" x14ac:dyDescent="0.35">
      <c r="A33" s="110" t="s">
        <v>124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</row>
    <row r="34" spans="1:56" ht="17.25" customHeight="1" x14ac:dyDescent="0.35">
      <c r="A34" s="156" t="str">
        <f>LINK!AK3</f>
        <v>Manutenção preventiva anual SCH (Edifício 1 e  2) (1/1).</v>
      </c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157"/>
    </row>
    <row r="35" spans="1:56" ht="17.25" customHeight="1" x14ac:dyDescent="0.35">
      <c r="A35" s="156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157"/>
    </row>
    <row r="36" spans="1:56" ht="17.25" customHeight="1" x14ac:dyDescent="0.35">
      <c r="A36" s="156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157"/>
    </row>
    <row r="37" spans="1:56" ht="3" customHeight="1" x14ac:dyDescent="0.35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</row>
    <row r="38" spans="1:56" ht="14.25" customHeight="1" x14ac:dyDescent="0.35">
      <c r="A38" s="110" t="s">
        <v>125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110"/>
      <c r="AV38" s="110"/>
      <c r="AW38" s="110"/>
      <c r="AX38" s="110"/>
      <c r="AY38" s="110"/>
      <c r="AZ38" s="110"/>
      <c r="BA38" s="110"/>
      <c r="BB38" s="110"/>
      <c r="BC38" s="110"/>
      <c r="BD38" s="110"/>
    </row>
    <row r="39" spans="1:56" ht="17" customHeight="1" x14ac:dyDescent="0.35">
      <c r="A39" s="158">
        <f>LINK!AN3</f>
        <v>0</v>
      </c>
      <c r="B39" s="159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  <c r="AB39" s="159"/>
      <c r="AC39" s="159"/>
      <c r="AD39" s="159"/>
      <c r="AE39" s="159"/>
      <c r="AF39" s="159"/>
      <c r="AG39" s="159"/>
      <c r="AH39" s="159"/>
      <c r="AI39" s="159"/>
      <c r="AJ39" s="159"/>
      <c r="AK39" s="159"/>
      <c r="AL39" s="159"/>
      <c r="AM39" s="159"/>
      <c r="AN39" s="159"/>
      <c r="AO39" s="159"/>
      <c r="AP39" s="159"/>
      <c r="AQ39" s="159"/>
      <c r="AR39" s="159"/>
      <c r="AS39" s="159"/>
      <c r="AT39" s="159"/>
      <c r="AU39" s="159"/>
      <c r="AV39" s="159"/>
      <c r="AW39" s="159"/>
      <c r="AX39" s="159"/>
      <c r="AY39" s="159"/>
      <c r="AZ39" s="159"/>
      <c r="BA39" s="159"/>
      <c r="BB39" s="159"/>
      <c r="BC39" s="159"/>
      <c r="BD39" s="160"/>
    </row>
    <row r="40" spans="1:56" ht="17.25" customHeight="1" x14ac:dyDescent="0.35">
      <c r="A40" s="156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157"/>
    </row>
    <row r="41" spans="1:56" ht="17.25" customHeight="1" x14ac:dyDescent="0.35">
      <c r="A41" s="156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157"/>
    </row>
    <row r="42" spans="1:56" ht="17.25" customHeight="1" x14ac:dyDescent="0.35">
      <c r="A42" s="156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157"/>
    </row>
    <row r="43" spans="1:56" ht="17.25" customHeight="1" x14ac:dyDescent="0.35">
      <c r="A43" s="156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157"/>
    </row>
    <row r="44" spans="1:56" ht="17.25" customHeight="1" x14ac:dyDescent="0.35">
      <c r="A44" s="156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157"/>
    </row>
    <row r="45" spans="1:56" ht="17.25" customHeight="1" x14ac:dyDescent="0.35">
      <c r="A45" s="156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157"/>
    </row>
    <row r="46" spans="1:56" ht="14.25" customHeight="1" x14ac:dyDescent="0.35">
      <c r="A46" s="161" t="s">
        <v>126</v>
      </c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</row>
    <row r="47" spans="1:56" ht="3" customHeight="1" x14ac:dyDescent="0.35">
      <c r="A47" s="109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</row>
    <row r="48" spans="1:56" x14ac:dyDescent="0.35">
      <c r="A48" s="162" t="s">
        <v>127</v>
      </c>
      <c r="B48" s="163"/>
      <c r="C48" s="163"/>
      <c r="D48" s="163"/>
      <c r="E48" s="163"/>
      <c r="F48" s="163"/>
      <c r="G48" s="163"/>
      <c r="H48" s="163"/>
      <c r="I48" s="163"/>
      <c r="J48" s="163"/>
      <c r="K48" s="163"/>
      <c r="L48" s="164"/>
      <c r="M48" s="162" t="s">
        <v>128</v>
      </c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4"/>
      <c r="AZ48" s="162" t="s">
        <v>129</v>
      </c>
      <c r="BA48" s="163"/>
      <c r="BB48" s="163"/>
      <c r="BC48" s="163"/>
      <c r="BD48" s="164"/>
    </row>
    <row r="49" spans="1:57" ht="17.25" customHeight="1" x14ac:dyDescent="0.35">
      <c r="A49" s="156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157"/>
      <c r="M49" s="156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157"/>
      <c r="AZ49" s="165"/>
      <c r="BA49" s="102"/>
      <c r="BB49" s="102"/>
      <c r="BC49" s="102"/>
      <c r="BD49" s="166"/>
    </row>
    <row r="50" spans="1:57" ht="17.25" customHeight="1" x14ac:dyDescent="0.35">
      <c r="A50" s="156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157"/>
      <c r="M50" s="156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157"/>
      <c r="AZ50" s="165"/>
      <c r="BA50" s="102"/>
      <c r="BB50" s="102"/>
      <c r="BC50" s="102"/>
      <c r="BD50" s="166"/>
    </row>
    <row r="51" spans="1:57" ht="17.25" customHeight="1" x14ac:dyDescent="0.35">
      <c r="A51" s="156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157"/>
      <c r="M51" s="156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157"/>
      <c r="AZ51" s="165"/>
      <c r="BA51" s="102"/>
      <c r="BB51" s="102"/>
      <c r="BC51" s="102"/>
      <c r="BD51" s="166"/>
    </row>
    <row r="52" spans="1:57" ht="17.25" customHeight="1" x14ac:dyDescent="0.35">
      <c r="A52" s="156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157"/>
      <c r="M52" s="156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157"/>
      <c r="AZ52" s="165"/>
      <c r="BA52" s="102"/>
      <c r="BB52" s="102"/>
      <c r="BC52" s="102"/>
      <c r="BD52" s="166"/>
    </row>
    <row r="53" spans="1:57" ht="17.25" customHeight="1" x14ac:dyDescent="0.35">
      <c r="A53" s="156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157"/>
      <c r="M53" s="156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157"/>
      <c r="AZ53" s="165"/>
      <c r="BA53" s="102"/>
      <c r="BB53" s="102"/>
      <c r="BC53" s="102"/>
      <c r="BD53" s="166"/>
    </row>
    <row r="54" spans="1:57" ht="6.75" customHeight="1" x14ac:dyDescent="0.35">
      <c r="A54" s="109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</row>
    <row r="55" spans="1:57" ht="20.25" customHeight="1" x14ac:dyDescent="0.35">
      <c r="A55" s="167" t="s">
        <v>130</v>
      </c>
      <c r="B55" s="167"/>
      <c r="C55" s="167"/>
      <c r="D55" s="167"/>
      <c r="E55" s="168"/>
      <c r="F55" s="169">
        <f>LINK!AO3</f>
        <v>0</v>
      </c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1"/>
      <c r="T55" s="172" t="s">
        <v>131</v>
      </c>
      <c r="U55" s="91"/>
      <c r="V55" s="91"/>
      <c r="W55" s="91"/>
      <c r="X55" s="91"/>
      <c r="Y55" s="91"/>
      <c r="Z55" s="173"/>
      <c r="AA55" s="174" t="s">
        <v>132</v>
      </c>
      <c r="AB55" s="175"/>
      <c r="AC55" s="175"/>
      <c r="AD55" s="175"/>
      <c r="AE55" s="175"/>
      <c r="AF55" s="176"/>
      <c r="AG55" s="172" t="s">
        <v>133</v>
      </c>
      <c r="AH55" s="91"/>
      <c r="AI55" s="91"/>
      <c r="AJ55" s="91"/>
      <c r="AK55" s="91"/>
      <c r="AL55" s="173"/>
      <c r="AM55" s="174" t="s">
        <v>132</v>
      </c>
      <c r="AN55" s="175"/>
      <c r="AO55" s="175"/>
      <c r="AP55" s="175"/>
      <c r="AQ55" s="175"/>
      <c r="AR55" s="176"/>
      <c r="AS55" s="172" t="s">
        <v>134</v>
      </c>
      <c r="AT55" s="91"/>
      <c r="AU55" s="91"/>
      <c r="AV55" s="91"/>
      <c r="AW55" s="91"/>
      <c r="AX55" s="91"/>
      <c r="AY55" s="173"/>
      <c r="AZ55" s="174" t="s">
        <v>132</v>
      </c>
      <c r="BA55" s="175"/>
      <c r="BB55" s="175"/>
      <c r="BC55" s="175"/>
      <c r="BD55" s="176"/>
    </row>
    <row r="56" spans="1:57" ht="3.75" customHeight="1" x14ac:dyDescent="0.35">
      <c r="A56" s="82"/>
      <c r="B56" s="95"/>
      <c r="C56" s="82"/>
      <c r="D56" s="82"/>
      <c r="E56" s="82"/>
      <c r="F56" s="82"/>
      <c r="G56" s="82"/>
      <c r="H56" s="82"/>
      <c r="I56" s="82"/>
      <c r="J56" s="82"/>
      <c r="K56" s="82"/>
      <c r="T56" s="70"/>
      <c r="X56" s="177"/>
      <c r="Y56" s="177"/>
      <c r="Z56" s="82"/>
      <c r="AA56" s="82"/>
      <c r="AB56" s="82"/>
      <c r="AC56" s="82"/>
      <c r="AD56" s="82"/>
      <c r="AE56" s="82"/>
      <c r="AF56" s="82"/>
      <c r="AG56" s="70"/>
      <c r="AH56" s="70"/>
      <c r="AK56" s="177"/>
      <c r="AL56" s="82"/>
      <c r="AM56" s="82"/>
      <c r="AN56" s="82"/>
      <c r="AO56" s="82"/>
      <c r="AP56" s="82"/>
      <c r="AQ56" s="82"/>
      <c r="AR56" s="82"/>
      <c r="AS56" s="70"/>
      <c r="AT56" s="70"/>
      <c r="AU56" s="70"/>
      <c r="AX56" s="177"/>
      <c r="AY56" s="82"/>
      <c r="AZ56" s="82"/>
      <c r="BA56" s="82"/>
      <c r="BB56" s="82"/>
      <c r="BC56" s="82"/>
      <c r="BD56" s="82"/>
    </row>
    <row r="57" spans="1:57" ht="20.25" customHeight="1" x14ac:dyDescent="0.35">
      <c r="A57" s="167" t="s">
        <v>130</v>
      </c>
      <c r="B57" s="167"/>
      <c r="C57" s="167"/>
      <c r="D57" s="167"/>
      <c r="E57" s="168"/>
      <c r="F57" s="169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1"/>
      <c r="T57" s="172" t="s">
        <v>131</v>
      </c>
      <c r="U57" s="91"/>
      <c r="V57" s="91"/>
      <c r="W57" s="91"/>
      <c r="X57" s="91"/>
      <c r="Y57" s="91"/>
      <c r="Z57" s="173"/>
      <c r="AA57" s="174" t="s">
        <v>132</v>
      </c>
      <c r="AB57" s="175"/>
      <c r="AC57" s="175"/>
      <c r="AD57" s="175"/>
      <c r="AE57" s="175"/>
      <c r="AF57" s="176"/>
      <c r="AG57" s="172" t="s">
        <v>133</v>
      </c>
      <c r="AH57" s="91"/>
      <c r="AI57" s="91"/>
      <c r="AJ57" s="91"/>
      <c r="AK57" s="91"/>
      <c r="AL57" s="173"/>
      <c r="AM57" s="174" t="s">
        <v>132</v>
      </c>
      <c r="AN57" s="175"/>
      <c r="AO57" s="175"/>
      <c r="AP57" s="175"/>
      <c r="AQ57" s="175"/>
      <c r="AR57" s="176"/>
      <c r="AS57" s="172" t="s">
        <v>134</v>
      </c>
      <c r="AT57" s="91"/>
      <c r="AU57" s="91"/>
      <c r="AV57" s="91"/>
      <c r="AW57" s="91"/>
      <c r="AX57" s="91"/>
      <c r="AY57" s="173"/>
      <c r="AZ57" s="174" t="s">
        <v>132</v>
      </c>
      <c r="BA57" s="175"/>
      <c r="BB57" s="175"/>
      <c r="BC57" s="175"/>
      <c r="BD57" s="176"/>
    </row>
    <row r="58" spans="1:57" ht="3.75" customHeight="1" x14ac:dyDescent="0.35">
      <c r="A58" s="82"/>
      <c r="B58" s="95"/>
      <c r="C58" s="82"/>
      <c r="D58" s="82"/>
      <c r="E58" s="82"/>
      <c r="F58" s="82"/>
      <c r="G58" s="82"/>
      <c r="H58" s="82"/>
      <c r="I58" s="82"/>
      <c r="J58" s="82"/>
      <c r="K58" s="82"/>
      <c r="T58" s="70"/>
      <c r="X58" s="177"/>
      <c r="Y58" s="177"/>
      <c r="Z58" s="82"/>
      <c r="AA58" s="82"/>
      <c r="AB58" s="82"/>
      <c r="AC58" s="82"/>
      <c r="AD58" s="82"/>
      <c r="AE58" s="82"/>
      <c r="AF58" s="82"/>
      <c r="AG58" s="70"/>
      <c r="AH58" s="70"/>
      <c r="AK58" s="177"/>
      <c r="AL58" s="82"/>
      <c r="AM58" s="82"/>
      <c r="AN58" s="82"/>
      <c r="AO58" s="82"/>
      <c r="AP58" s="82"/>
      <c r="AQ58" s="82"/>
      <c r="AR58" s="82"/>
      <c r="AS58" s="70"/>
      <c r="AT58" s="70"/>
      <c r="AU58" s="70"/>
      <c r="AX58" s="177"/>
      <c r="AY58" s="82"/>
      <c r="AZ58" s="82"/>
      <c r="BA58" s="82"/>
      <c r="BB58" s="82"/>
      <c r="BC58" s="82"/>
      <c r="BD58" s="82"/>
    </row>
    <row r="59" spans="1:57" ht="20.25" customHeight="1" x14ac:dyDescent="0.35">
      <c r="A59" s="167" t="s">
        <v>130</v>
      </c>
      <c r="B59" s="167"/>
      <c r="C59" s="167"/>
      <c r="D59" s="167"/>
      <c r="E59" s="168"/>
      <c r="F59" s="169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1"/>
      <c r="T59" s="172" t="s">
        <v>131</v>
      </c>
      <c r="U59" s="91"/>
      <c r="V59" s="91"/>
      <c r="W59" s="91"/>
      <c r="X59" s="91"/>
      <c r="Y59" s="91"/>
      <c r="Z59" s="173"/>
      <c r="AA59" s="174" t="s">
        <v>132</v>
      </c>
      <c r="AB59" s="175"/>
      <c r="AC59" s="175"/>
      <c r="AD59" s="175"/>
      <c r="AE59" s="175"/>
      <c r="AF59" s="176"/>
      <c r="AG59" s="172" t="s">
        <v>133</v>
      </c>
      <c r="AH59" s="91"/>
      <c r="AI59" s="91"/>
      <c r="AJ59" s="91"/>
      <c r="AK59" s="91"/>
      <c r="AL59" s="173"/>
      <c r="AM59" s="174" t="s">
        <v>132</v>
      </c>
      <c r="AN59" s="175"/>
      <c r="AO59" s="175"/>
      <c r="AP59" s="175"/>
      <c r="AQ59" s="175"/>
      <c r="AR59" s="176"/>
      <c r="AS59" s="172" t="s">
        <v>134</v>
      </c>
      <c r="AT59" s="91"/>
      <c r="AU59" s="91"/>
      <c r="AV59" s="91"/>
      <c r="AW59" s="91"/>
      <c r="AX59" s="91"/>
      <c r="AY59" s="173"/>
      <c r="AZ59" s="174" t="s">
        <v>132</v>
      </c>
      <c r="BA59" s="175"/>
      <c r="BB59" s="175"/>
      <c r="BC59" s="175"/>
      <c r="BD59" s="176"/>
    </row>
    <row r="60" spans="1:57" ht="4.5" customHeight="1" x14ac:dyDescent="0.35">
      <c r="A60" s="178"/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8"/>
      <c r="AI60" s="178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</row>
    <row r="61" spans="1:57" ht="15.75" customHeight="1" x14ac:dyDescent="0.35">
      <c r="B61" s="179" t="s">
        <v>135</v>
      </c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 t="s">
        <v>136</v>
      </c>
      <c r="W61" s="180"/>
      <c r="X61" s="180"/>
      <c r="Y61" s="180"/>
      <c r="Z61" s="180"/>
      <c r="AA61" s="180"/>
      <c r="AB61" s="180"/>
      <c r="AC61" s="180"/>
      <c r="AD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  <c r="AT61" s="180" t="s">
        <v>137</v>
      </c>
      <c r="AU61" s="180"/>
      <c r="AV61" s="180"/>
      <c r="AW61" s="180"/>
      <c r="AX61" s="180"/>
      <c r="AY61" s="180"/>
      <c r="AZ61" s="180"/>
      <c r="BA61" s="180"/>
      <c r="BB61" s="180"/>
      <c r="BC61" s="180"/>
      <c r="BD61" s="180"/>
      <c r="BE61" s="180"/>
    </row>
    <row r="62" spans="1:57" ht="21.75" customHeight="1" x14ac:dyDescent="0.35">
      <c r="B62" s="181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3"/>
      <c r="U62" s="180"/>
      <c r="V62" s="184"/>
      <c r="W62" s="185"/>
      <c r="X62" s="185"/>
      <c r="Y62" s="185"/>
      <c r="Z62" s="185"/>
      <c r="AA62" s="185"/>
      <c r="AB62" s="185"/>
      <c r="AC62" s="185"/>
      <c r="AD62" s="185"/>
      <c r="AE62" s="185"/>
      <c r="AF62" s="185"/>
      <c r="AG62" s="185"/>
      <c r="AH62" s="185"/>
      <c r="AI62" s="185"/>
      <c r="AJ62" s="185"/>
      <c r="AK62" s="185"/>
      <c r="AL62" s="185"/>
      <c r="AM62" s="185"/>
      <c r="AN62" s="185"/>
      <c r="AO62" s="185"/>
      <c r="AP62" s="185"/>
      <c r="AQ62" s="185"/>
      <c r="AR62" s="186"/>
      <c r="AS62" s="180"/>
      <c r="AT62" s="187"/>
      <c r="AU62" s="188"/>
      <c r="AV62" s="188"/>
      <c r="AW62" s="188"/>
      <c r="AX62" s="188"/>
      <c r="AY62" s="188"/>
      <c r="AZ62" s="188"/>
      <c r="BA62" s="188"/>
      <c r="BB62" s="188"/>
      <c r="BC62" s="188"/>
      <c r="BD62" s="189"/>
    </row>
    <row r="63" spans="1:57" ht="14.25" customHeight="1" x14ac:dyDescent="0.35">
      <c r="B63" s="190" t="s">
        <v>138</v>
      </c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1"/>
      <c r="Q63" s="191"/>
      <c r="R63" s="191"/>
      <c r="S63" s="191"/>
      <c r="T63" s="192"/>
      <c r="U63" s="180"/>
      <c r="V63" s="190" t="s">
        <v>138</v>
      </c>
      <c r="W63" s="191"/>
      <c r="X63" s="191"/>
      <c r="Y63" s="191"/>
      <c r="Z63" s="191"/>
      <c r="AA63" s="191"/>
      <c r="AB63" s="191"/>
      <c r="AC63" s="191"/>
      <c r="AD63" s="191"/>
      <c r="AE63" s="191"/>
      <c r="AF63" s="191"/>
      <c r="AG63" s="191"/>
      <c r="AH63" s="191"/>
      <c r="AI63" s="191"/>
      <c r="AJ63" s="191"/>
      <c r="AK63" s="191"/>
      <c r="AL63" s="191"/>
      <c r="AM63" s="191"/>
      <c r="AN63" s="191"/>
      <c r="AO63" s="191"/>
      <c r="AP63" s="191"/>
      <c r="AQ63" s="191"/>
      <c r="AR63" s="192"/>
      <c r="AS63" s="180"/>
      <c r="AT63" s="193" t="s">
        <v>138</v>
      </c>
      <c r="AU63" s="194"/>
      <c r="AV63" s="194"/>
      <c r="AW63" s="194"/>
      <c r="AX63" s="194"/>
      <c r="AY63" s="194"/>
      <c r="AZ63" s="194"/>
      <c r="BA63" s="194"/>
      <c r="BB63" s="194"/>
      <c r="BC63" s="194"/>
      <c r="BD63" s="195"/>
    </row>
    <row r="64" spans="1:57" s="68" customFormat="1" x14ac:dyDescent="0.35">
      <c r="B64" s="196" t="s">
        <v>139</v>
      </c>
      <c r="C64" s="197"/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  <c r="R64" s="197"/>
      <c r="S64" s="180"/>
      <c r="T64" s="180"/>
      <c r="U64" s="180"/>
      <c r="V64" s="196" t="s">
        <v>140</v>
      </c>
      <c r="W64" s="180"/>
      <c r="X64" s="180"/>
      <c r="Y64" s="180"/>
      <c r="Z64" s="180"/>
      <c r="AA64" s="180"/>
      <c r="AB64" s="180"/>
      <c r="AC64" s="180"/>
      <c r="AF64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  <c r="AT64" s="198"/>
      <c r="AU64" s="198"/>
      <c r="AV64" s="198"/>
      <c r="AW64" s="198"/>
      <c r="AX64" s="198"/>
      <c r="AY64" s="198"/>
      <c r="AZ64" s="198"/>
      <c r="BA64" s="198"/>
      <c r="BB64" s="198"/>
      <c r="BC64" s="198"/>
      <c r="BD64" s="198"/>
      <c r="BE64"/>
    </row>
    <row r="65" spans="1:56" s="68" customFormat="1" ht="4.5" customHeight="1" x14ac:dyDescent="0.2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  <c r="AB65" s="199"/>
      <c r="AC65" s="199"/>
      <c r="AD65" s="199"/>
      <c r="AE65" s="199"/>
      <c r="AF65" s="199"/>
      <c r="AG65" s="199"/>
      <c r="AH65" s="199"/>
      <c r="AI65" s="199"/>
      <c r="AJ65" s="199"/>
      <c r="AK65" s="199"/>
      <c r="AL65" s="199"/>
      <c r="AM65" s="199"/>
      <c r="AN65" s="199"/>
      <c r="AO65" s="199"/>
      <c r="AP65" s="199"/>
      <c r="AQ65" s="199"/>
      <c r="AR65" s="199"/>
      <c r="AS65" s="199"/>
      <c r="AT65" s="199"/>
      <c r="AU65" s="199"/>
      <c r="AV65" s="199"/>
      <c r="AW65" s="199"/>
      <c r="AX65" s="199"/>
      <c r="AY65" s="199"/>
      <c r="AZ65" s="199"/>
      <c r="BA65" s="199"/>
      <c r="BB65" s="199"/>
      <c r="BC65" s="199"/>
      <c r="BD65" s="199"/>
    </row>
    <row r="66" spans="1:56" s="68" customFormat="1" ht="15.75" customHeight="1" x14ac:dyDescent="0.25">
      <c r="A66" s="200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</row>
    <row r="67" spans="1:56" s="68" customFormat="1" ht="15.75" customHeight="1" x14ac:dyDescent="0.25">
      <c r="A67" s="200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  <c r="AA67" s="201"/>
      <c r="AB67" s="201"/>
      <c r="AC67" s="201"/>
      <c r="AF67" s="201"/>
      <c r="AG67" s="201"/>
      <c r="AH67" s="201"/>
      <c r="AI67" s="201"/>
      <c r="AJ67" s="201"/>
      <c r="AK67" s="201"/>
      <c r="AL67" s="201"/>
      <c r="AM67" s="201"/>
      <c r="AN67" s="201"/>
      <c r="AO67" s="201"/>
      <c r="AP67" s="201"/>
      <c r="AQ67" s="201"/>
      <c r="AR67" s="201"/>
      <c r="AS67" s="201"/>
      <c r="AT67" s="201"/>
      <c r="AU67" s="201"/>
      <c r="AV67" s="201"/>
      <c r="AW67" s="201"/>
      <c r="AX67" s="201"/>
      <c r="AY67" s="201"/>
      <c r="AZ67" s="201"/>
      <c r="BA67" s="201"/>
      <c r="BB67" s="201"/>
      <c r="BC67" s="201"/>
      <c r="BD67" s="201"/>
    </row>
    <row r="68" spans="1:56" s="68" customFormat="1" ht="15.75" customHeight="1" x14ac:dyDescent="0.25">
      <c r="A68" s="200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  <c r="AA68" s="201"/>
      <c r="AB68" s="201"/>
      <c r="AC68" s="201"/>
      <c r="AF68" s="201"/>
      <c r="AG68" s="201"/>
      <c r="AH68" s="201"/>
      <c r="AI68" s="201"/>
      <c r="AJ68" s="201"/>
      <c r="AK68" s="201"/>
      <c r="AL68" s="201"/>
      <c r="AM68" s="201"/>
      <c r="AN68" s="201"/>
      <c r="AO68" s="201"/>
      <c r="AP68" s="201"/>
      <c r="AQ68" s="201"/>
      <c r="AR68" s="201"/>
      <c r="AS68" s="201"/>
      <c r="AT68" s="201"/>
      <c r="AU68" s="201"/>
      <c r="AV68" s="201"/>
      <c r="AW68" s="201"/>
      <c r="AX68" s="201"/>
      <c r="AY68" s="201"/>
      <c r="AZ68" s="201"/>
      <c r="BA68" s="201"/>
      <c r="BB68" s="201"/>
      <c r="BC68" s="201"/>
      <c r="BD68" s="201"/>
    </row>
    <row r="69" spans="1:56" s="68" customFormat="1" ht="15.75" customHeight="1" x14ac:dyDescent="0.25">
      <c r="A69" s="200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1"/>
      <c r="AV69" s="201"/>
      <c r="AW69" s="201"/>
      <c r="AX69" s="201"/>
      <c r="AY69" s="201"/>
      <c r="AZ69" s="201"/>
      <c r="BA69" s="201"/>
      <c r="BB69" s="201"/>
      <c r="BC69" s="201"/>
      <c r="BD69" s="201"/>
    </row>
    <row r="70" spans="1:56" x14ac:dyDescent="0.35">
      <c r="A70" s="82"/>
      <c r="B70" s="82"/>
      <c r="C70" s="82"/>
      <c r="D70" s="82"/>
      <c r="E70" s="82"/>
      <c r="F70" s="82"/>
      <c r="G70" s="82"/>
      <c r="H70" s="82"/>
      <c r="I70" s="82"/>
      <c r="J70" s="82"/>
      <c r="K70" s="82"/>
    </row>
    <row r="71" spans="1:56" x14ac:dyDescent="0.35">
      <c r="A71" s="82"/>
      <c r="B71" s="82"/>
      <c r="C71" s="82"/>
      <c r="D71" s="82"/>
      <c r="E71" s="82"/>
      <c r="F71" s="82"/>
      <c r="G71" s="82"/>
      <c r="H71" s="82"/>
      <c r="I71" s="82"/>
      <c r="J71" s="82"/>
      <c r="K71" s="82"/>
    </row>
  </sheetData>
  <mergeCells count="100">
    <mergeCell ref="B63:T63"/>
    <mergeCell ref="V63:AR63"/>
    <mergeCell ref="AT63:BD63"/>
    <mergeCell ref="A65:BD65"/>
    <mergeCell ref="AS59:AX59"/>
    <mergeCell ref="AZ59:BD59"/>
    <mergeCell ref="A60:BD60"/>
    <mergeCell ref="B62:T62"/>
    <mergeCell ref="V62:AR62"/>
    <mergeCell ref="AT62:BD62"/>
    <mergeCell ref="A59:E59"/>
    <mergeCell ref="F59:S59"/>
    <mergeCell ref="T59:Y59"/>
    <mergeCell ref="AA59:AF59"/>
    <mergeCell ref="AG59:AK59"/>
    <mergeCell ref="AM59:AR59"/>
    <mergeCell ref="AS55:AX55"/>
    <mergeCell ref="AZ55:BD55"/>
    <mergeCell ref="A57:E57"/>
    <mergeCell ref="F57:S57"/>
    <mergeCell ref="T57:Y57"/>
    <mergeCell ref="AA57:AF57"/>
    <mergeCell ref="AG57:AK57"/>
    <mergeCell ref="AM57:AR57"/>
    <mergeCell ref="AS57:AX57"/>
    <mergeCell ref="AZ57:BD57"/>
    <mergeCell ref="A53:L53"/>
    <mergeCell ref="M53:AY53"/>
    <mergeCell ref="AZ53:BD53"/>
    <mergeCell ref="A54:BD54"/>
    <mergeCell ref="A55:E55"/>
    <mergeCell ref="F55:S55"/>
    <mergeCell ref="T55:Y55"/>
    <mergeCell ref="AA55:AF55"/>
    <mergeCell ref="AG55:AK55"/>
    <mergeCell ref="AM55:AR55"/>
    <mergeCell ref="A51:L51"/>
    <mergeCell ref="M51:AY51"/>
    <mergeCell ref="AZ51:BD51"/>
    <mergeCell ref="A52:L52"/>
    <mergeCell ref="M52:AY52"/>
    <mergeCell ref="AZ52:BD52"/>
    <mergeCell ref="A49:L49"/>
    <mergeCell ref="M49:AY49"/>
    <mergeCell ref="AZ49:BD49"/>
    <mergeCell ref="A50:L50"/>
    <mergeCell ref="M50:AY50"/>
    <mergeCell ref="AZ50:BD50"/>
    <mergeCell ref="A44:BD44"/>
    <mergeCell ref="A45:BD45"/>
    <mergeCell ref="A46:BD46"/>
    <mergeCell ref="A47:BD47"/>
    <mergeCell ref="A48:L48"/>
    <mergeCell ref="M48:AY48"/>
    <mergeCell ref="AZ48:BD48"/>
    <mergeCell ref="A38:BD38"/>
    <mergeCell ref="A39:BD39"/>
    <mergeCell ref="A40:BD40"/>
    <mergeCell ref="A41:BD41"/>
    <mergeCell ref="A42:BD42"/>
    <mergeCell ref="A43:BD43"/>
    <mergeCell ref="A32:BD32"/>
    <mergeCell ref="A33:BD33"/>
    <mergeCell ref="A34:BD34"/>
    <mergeCell ref="A35:BD35"/>
    <mergeCell ref="A36:BD36"/>
    <mergeCell ref="A37:BD37"/>
    <mergeCell ref="A23:G23"/>
    <mergeCell ref="H23:AL23"/>
    <mergeCell ref="AO23:AS23"/>
    <mergeCell ref="AV23:BD23"/>
    <mergeCell ref="A24:BD24"/>
    <mergeCell ref="A25:AI25"/>
    <mergeCell ref="AK25:BD25"/>
    <mergeCell ref="A21:G21"/>
    <mergeCell ref="H21:AL21"/>
    <mergeCell ref="AO21:AS21"/>
    <mergeCell ref="AV21:BD21"/>
    <mergeCell ref="A22:G22"/>
    <mergeCell ref="H22:AL22"/>
    <mergeCell ref="AO22:AS22"/>
    <mergeCell ref="AV22:BD22"/>
    <mergeCell ref="A18:G18"/>
    <mergeCell ref="H18:AN18"/>
    <mergeCell ref="AO18:AS18"/>
    <mergeCell ref="AV18:BD18"/>
    <mergeCell ref="A19:BD19"/>
    <mergeCell ref="A20:BD20"/>
    <mergeCell ref="A17:G17"/>
    <mergeCell ref="H17:AB17"/>
    <mergeCell ref="AC17:AD17"/>
    <mergeCell ref="AE17:AN17"/>
    <mergeCell ref="AO17:AS17"/>
    <mergeCell ref="AV17:BD17"/>
    <mergeCell ref="A12:AS12"/>
    <mergeCell ref="AW12:BD12"/>
    <mergeCell ref="A15:BD15"/>
    <mergeCell ref="A16:G16"/>
    <mergeCell ref="H16:AN16"/>
    <mergeCell ref="AV16:BD16"/>
  </mergeCells>
  <pageMargins left="0.55118110236220474" right="0.31496062992125984" top="0.27559055118110237" bottom="0.31496062992125984" header="0.23622047244094491" footer="0.11811023622047245"/>
  <pageSetup paperSize="9" orientation="portrait" r:id="rId1"/>
  <headerFooter>
    <oddFooter>&amp;L&amp;8MO-T011-01&amp;R&amp;8PSP nº 2551  |  ANEPC nº 0817  |  SRPCBA nº RE-158/RAA | IMPIC nº 106192-PUB  |  EEE nº PT002550 | GFEE nº 099.E.GFEE.19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LINK</vt:lpstr>
      <vt:lpstr>FS</vt:lpstr>
      <vt:lpstr>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Ribeiro | Sensorpoint</dc:creator>
  <cp:lastModifiedBy>João Ribeiro | Sensorpoint</cp:lastModifiedBy>
  <dcterms:created xsi:type="dcterms:W3CDTF">2026-03-27T15:59:25Z</dcterms:created>
  <dcterms:modified xsi:type="dcterms:W3CDTF">2026-03-27T16:00:40Z</dcterms:modified>
</cp:coreProperties>
</file>